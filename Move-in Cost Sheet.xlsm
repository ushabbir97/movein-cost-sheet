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https://ivoryhomes1.sharepoint.com/sites/ICOPM/Shared Documents/Office/Forms/"/>
    </mc:Choice>
  </mc:AlternateContent>
  <xr:revisionPtr revIDLastSave="1093" documentId="8_{53EEF1D9-1F2B-4649-8976-E7CB2303E5E0}" xr6:coauthVersionLast="47" xr6:coauthVersionMax="47" xr10:uidLastSave="{49524281-5ED2-409A-A61F-580DFEED6E88}"/>
  <bookViews>
    <workbookView xWindow="28680" yWindow="-120" windowWidth="29040" windowHeight="15720" xr2:uid="{00000000-000D-0000-FFFF-FFFF00000000}"/>
  </bookViews>
  <sheets>
    <sheet name="Move In Form" sheetId="1" r:id="rId1"/>
    <sheet name="Userform Inputs" sheetId="3" state="hidden" r:id="rId2"/>
    <sheet name="Prorate Rent Schedule" sheetId="2" state="veryHidden" r:id="rId3"/>
  </sheets>
  <definedNames>
    <definedName name="_xlnm.Print_Area" localSheetId="0">'Move In Form'!$A$1:$H$65</definedName>
    <definedName name="Tax">#REF!</definedName>
    <definedName name="TaxRate">#REF!</definedName>
  </definedNames>
  <calcPr calcId="191028"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7" i="1" l="1"/>
  <c r="G9" i="1" l="1"/>
  <c r="C2" i="2" l="1"/>
  <c r="O5" i="2" s="1"/>
  <c r="H5" i="2" l="1"/>
  <c r="I5" i="2"/>
  <c r="D5" i="2"/>
  <c r="L5" i="2"/>
  <c r="E5" i="2"/>
  <c r="M5" i="2"/>
  <c r="F5" i="2"/>
  <c r="J5" i="2"/>
  <c r="N5" i="2"/>
  <c r="G5" i="2"/>
  <c r="K5" i="2"/>
  <c r="O8" i="2"/>
  <c r="O9" i="2" s="1"/>
  <c r="C26" i="1"/>
  <c r="F8" i="2" l="1"/>
  <c r="F9" i="2" s="1"/>
  <c r="J8" i="2"/>
  <c r="J9" i="2" s="1"/>
  <c r="I8" i="2"/>
  <c r="I9" i="2" s="1"/>
  <c r="H8" i="2"/>
  <c r="H9" i="2" s="1"/>
  <c r="K8" i="2"/>
  <c r="K9" i="2" s="1"/>
  <c r="M8" i="2"/>
  <c r="M9" i="2" s="1"/>
  <c r="L8" i="2"/>
  <c r="L9" i="2" s="1"/>
  <c r="G8" i="2"/>
  <c r="G9" i="2" s="1"/>
  <c r="N8" i="2"/>
  <c r="N9" i="2" s="1"/>
  <c r="E8" i="2"/>
  <c r="E9" i="2" s="1"/>
  <c r="D8" i="2"/>
  <c r="D9" i="2" s="1"/>
  <c r="D10" i="2" s="1"/>
  <c r="D11" i="2" s="1"/>
  <c r="D12" i="2" s="1"/>
  <c r="D13" i="2" s="1"/>
  <c r="D14" i="2" s="1"/>
  <c r="D15" i="2" s="1"/>
  <c r="D16" i="2" s="1"/>
  <c r="D17" i="2" s="1"/>
  <c r="D18" i="2" s="1"/>
  <c r="D19" i="2" s="1"/>
  <c r="D20" i="2" s="1"/>
  <c r="D21" i="2" s="1"/>
  <c r="D22" i="2" s="1"/>
  <c r="D23" i="2" s="1"/>
  <c r="D24" i="2" s="1"/>
  <c r="D25" i="2" s="1"/>
  <c r="D26" i="2" s="1"/>
  <c r="D27" i="2" s="1"/>
  <c r="D28" i="2" s="1"/>
  <c r="D29" i="2" s="1"/>
  <c r="D30" i="2" s="1"/>
  <c r="D31" i="2" s="1"/>
  <c r="D32" i="2" s="1"/>
  <c r="D33" i="2" s="1"/>
  <c r="D34" i="2" s="1"/>
  <c r="D35" i="2" s="1"/>
  <c r="D36" i="2" s="1"/>
  <c r="D37" i="2" s="1"/>
  <c r="D38" i="2" s="1"/>
  <c r="G10" i="2" l="1"/>
  <c r="G11" i="2" s="1"/>
  <c r="G12" i="2" s="1"/>
  <c r="G13" i="2" s="1"/>
  <c r="G14" i="2" s="1"/>
  <c r="G15" i="2" s="1"/>
  <c r="G16" i="2" s="1"/>
  <c r="G17" i="2" s="1"/>
  <c r="G18" i="2" s="1"/>
  <c r="G19" i="2" s="1"/>
  <c r="G20" i="2" s="1"/>
  <c r="G21" i="2" s="1"/>
  <c r="G22" i="2" s="1"/>
  <c r="G23" i="2" s="1"/>
  <c r="G24" i="2" s="1"/>
  <c r="G25" i="2" s="1"/>
  <c r="G26" i="2" s="1"/>
  <c r="G27" i="2" s="1"/>
  <c r="G28" i="2" s="1"/>
  <c r="G29" i="2" s="1"/>
  <c r="G30" i="2" s="1"/>
  <c r="G31" i="2" s="1"/>
  <c r="G32" i="2" s="1"/>
  <c r="G33" i="2" s="1"/>
  <c r="G34" i="2" s="1"/>
  <c r="G35" i="2" s="1"/>
  <c r="G36" i="2" s="1"/>
  <c r="G37" i="2" s="1"/>
  <c r="G38" i="2" s="1"/>
  <c r="N10" i="2"/>
  <c r="N11" i="2" s="1"/>
  <c r="N12" i="2" s="1"/>
  <c r="N13" i="2" s="1"/>
  <c r="N14" i="2" s="1"/>
  <c r="N15" i="2" s="1"/>
  <c r="N16" i="2" s="1"/>
  <c r="N17" i="2" s="1"/>
  <c r="N18" i="2" s="1"/>
  <c r="N19" i="2" s="1"/>
  <c r="N20" i="2" s="1"/>
  <c r="N21" i="2" s="1"/>
  <c r="N22" i="2" s="1"/>
  <c r="N23" i="2" s="1"/>
  <c r="N24" i="2" s="1"/>
  <c r="N25" i="2" s="1"/>
  <c r="N26" i="2" s="1"/>
  <c r="N27" i="2" s="1"/>
  <c r="N28" i="2" s="1"/>
  <c r="N29" i="2" s="1"/>
  <c r="N30" i="2" s="1"/>
  <c r="N31" i="2" s="1"/>
  <c r="N32" i="2" s="1"/>
  <c r="N33" i="2" s="1"/>
  <c r="N34" i="2" s="1"/>
  <c r="N35" i="2" s="1"/>
  <c r="N36" i="2" s="1"/>
  <c r="N37" i="2" s="1"/>
  <c r="N38" i="2" s="1"/>
  <c r="J10" i="2"/>
  <c r="J11" i="2" s="1"/>
  <c r="J12" i="2" s="1"/>
  <c r="J13" i="2" s="1"/>
  <c r="J14" i="2" s="1"/>
  <c r="J15" i="2" s="1"/>
  <c r="J16" i="2" s="1"/>
  <c r="J17" i="2" s="1"/>
  <c r="J18" i="2" s="1"/>
  <c r="J19" i="2" s="1"/>
  <c r="J20" i="2" s="1"/>
  <c r="J21" i="2" s="1"/>
  <c r="J22" i="2" s="1"/>
  <c r="J23" i="2" s="1"/>
  <c r="J24" i="2" s="1"/>
  <c r="J25" i="2" s="1"/>
  <c r="J26" i="2" s="1"/>
  <c r="J27" i="2" s="1"/>
  <c r="J28" i="2" s="1"/>
  <c r="J29" i="2" s="1"/>
  <c r="J30" i="2" s="1"/>
  <c r="J31" i="2" s="1"/>
  <c r="J32" i="2" s="1"/>
  <c r="J33" i="2" s="1"/>
  <c r="J34" i="2" s="1"/>
  <c r="J35" i="2" s="1"/>
  <c r="J36" i="2" s="1"/>
  <c r="J37" i="2" s="1"/>
  <c r="J38" i="2" s="1"/>
  <c r="H10" i="2"/>
  <c r="H11" i="2" s="1"/>
  <c r="H12" i="2" s="1"/>
  <c r="H13" i="2" s="1"/>
  <c r="H14" i="2" s="1"/>
  <c r="H15" i="2" s="1"/>
  <c r="H16" i="2" s="1"/>
  <c r="H17" i="2" s="1"/>
  <c r="H18" i="2" s="1"/>
  <c r="H19" i="2" s="1"/>
  <c r="H20" i="2" s="1"/>
  <c r="H21" i="2" s="1"/>
  <c r="H22" i="2" s="1"/>
  <c r="H23" i="2" s="1"/>
  <c r="H24" i="2" s="1"/>
  <c r="H25" i="2" s="1"/>
  <c r="H26" i="2" s="1"/>
  <c r="H27" i="2" s="1"/>
  <c r="H28" i="2" s="1"/>
  <c r="H29" i="2" s="1"/>
  <c r="H30" i="2" s="1"/>
  <c r="H31" i="2" s="1"/>
  <c r="H32" i="2" s="1"/>
  <c r="H33" i="2" s="1"/>
  <c r="H34" i="2" s="1"/>
  <c r="H35" i="2" s="1"/>
  <c r="H36" i="2" s="1"/>
  <c r="H37" i="2" s="1"/>
  <c r="H38" i="2" s="1"/>
  <c r="F10" i="2"/>
  <c r="F11" i="2" s="1"/>
  <c r="F12" i="2" s="1"/>
  <c r="F13" i="2" s="1"/>
  <c r="F14" i="2" s="1"/>
  <c r="F15" i="2" s="1"/>
  <c r="F16" i="2" s="1"/>
  <c r="F17" i="2" s="1"/>
  <c r="F18" i="2" s="1"/>
  <c r="F19" i="2" s="1"/>
  <c r="F20" i="2" s="1"/>
  <c r="F21" i="2" s="1"/>
  <c r="F22" i="2" s="1"/>
  <c r="F23" i="2" s="1"/>
  <c r="F24" i="2" s="1"/>
  <c r="F25" i="2" s="1"/>
  <c r="F26" i="2" s="1"/>
  <c r="F27" i="2" s="1"/>
  <c r="F28" i="2" s="1"/>
  <c r="F29" i="2" s="1"/>
  <c r="F30" i="2" s="1"/>
  <c r="F31" i="2" s="1"/>
  <c r="F32" i="2" s="1"/>
  <c r="F33" i="2" s="1"/>
  <c r="F34" i="2" s="1"/>
  <c r="F35" i="2" s="1"/>
  <c r="F36" i="2" s="1"/>
  <c r="F37" i="2" s="1"/>
  <c r="F38" i="2" s="1"/>
  <c r="M10" i="2"/>
  <c r="M11" i="2" s="1"/>
  <c r="M12" i="2" s="1"/>
  <c r="M13" i="2" s="1"/>
  <c r="M14" i="2" s="1"/>
  <c r="M15" i="2" s="1"/>
  <c r="M16" i="2" s="1"/>
  <c r="M17" i="2" s="1"/>
  <c r="M18" i="2" s="1"/>
  <c r="M19" i="2" s="1"/>
  <c r="M20" i="2" s="1"/>
  <c r="M21" i="2" s="1"/>
  <c r="M22" i="2" s="1"/>
  <c r="M23" i="2" s="1"/>
  <c r="M24" i="2" s="1"/>
  <c r="M25" i="2" s="1"/>
  <c r="M26" i="2" s="1"/>
  <c r="M27" i="2" s="1"/>
  <c r="M28" i="2" s="1"/>
  <c r="M29" i="2" s="1"/>
  <c r="M30" i="2" s="1"/>
  <c r="M31" i="2" s="1"/>
  <c r="M32" i="2" s="1"/>
  <c r="M33" i="2" s="1"/>
  <c r="M34" i="2" s="1"/>
  <c r="M35" i="2" s="1"/>
  <c r="M36" i="2" s="1"/>
  <c r="M37" i="2" s="1"/>
  <c r="M38" i="2" s="1"/>
  <c r="L10" i="2"/>
  <c r="L11" i="2" s="1"/>
  <c r="L12" i="2" s="1"/>
  <c r="L13" i="2" s="1"/>
  <c r="L14" i="2" s="1"/>
  <c r="L15" i="2" s="1"/>
  <c r="L16" i="2" s="1"/>
  <c r="L17" i="2" s="1"/>
  <c r="L18" i="2" s="1"/>
  <c r="L19" i="2" s="1"/>
  <c r="L20" i="2" s="1"/>
  <c r="L21" i="2" s="1"/>
  <c r="L22" i="2" s="1"/>
  <c r="L23" i="2" s="1"/>
  <c r="L24" i="2" s="1"/>
  <c r="L25" i="2" s="1"/>
  <c r="L26" i="2" s="1"/>
  <c r="L27" i="2" s="1"/>
  <c r="L28" i="2" s="1"/>
  <c r="E10" i="2"/>
  <c r="E11" i="2" s="1"/>
  <c r="E12" i="2" s="1"/>
  <c r="E13" i="2" s="1"/>
  <c r="E14" i="2" s="1"/>
  <c r="E15" i="2" s="1"/>
  <c r="E16" i="2" s="1"/>
  <c r="E17" i="2" s="1"/>
  <c r="E18" i="2" s="1"/>
  <c r="E19" i="2" s="1"/>
  <c r="E20" i="2" s="1"/>
  <c r="E21" i="2" s="1"/>
  <c r="E22" i="2" s="1"/>
  <c r="E23" i="2" s="1"/>
  <c r="E24" i="2" s="1"/>
  <c r="E25" i="2" s="1"/>
  <c r="E26" i="2" s="1"/>
  <c r="E27" i="2" s="1"/>
  <c r="E28" i="2" s="1"/>
  <c r="E29" i="2" s="1"/>
  <c r="E30" i="2" s="1"/>
  <c r="E31" i="2" s="1"/>
  <c r="E32" i="2" s="1"/>
  <c r="E33" i="2" s="1"/>
  <c r="E34" i="2" s="1"/>
  <c r="E35" i="2" s="1"/>
  <c r="E36" i="2" s="1"/>
  <c r="E37" i="2" s="1"/>
  <c r="E38" i="2" s="1"/>
  <c r="O10" i="2"/>
  <c r="O11" i="2" s="1"/>
  <c r="O12" i="2" s="1"/>
  <c r="O13" i="2" s="1"/>
  <c r="O14" i="2" s="1"/>
  <c r="O15" i="2" s="1"/>
  <c r="O16" i="2" s="1"/>
  <c r="O17" i="2" s="1"/>
  <c r="O18" i="2" s="1"/>
  <c r="O19" i="2" s="1"/>
  <c r="O20" i="2" s="1"/>
  <c r="O21" i="2" s="1"/>
  <c r="O22" i="2" s="1"/>
  <c r="O23" i="2" s="1"/>
  <c r="O24" i="2" s="1"/>
  <c r="O25" i="2" s="1"/>
  <c r="O26" i="2" s="1"/>
  <c r="O27" i="2" s="1"/>
  <c r="O28" i="2" s="1"/>
  <c r="O29" i="2" s="1"/>
  <c r="O30" i="2" s="1"/>
  <c r="O31" i="2" s="1"/>
  <c r="O32" i="2" s="1"/>
  <c r="O33" i="2" s="1"/>
  <c r="O34" i="2" s="1"/>
  <c r="O35" i="2" s="1"/>
  <c r="O36" i="2" s="1"/>
  <c r="O37" i="2" s="1"/>
  <c r="O38" i="2" s="1"/>
  <c r="I10" i="2"/>
  <c r="I11" i="2" s="1"/>
  <c r="I12" i="2" s="1"/>
  <c r="I13" i="2" s="1"/>
  <c r="I14" i="2" s="1"/>
  <c r="I15" i="2" s="1"/>
  <c r="I16" i="2" s="1"/>
  <c r="I17" i="2" s="1"/>
  <c r="I18" i="2" s="1"/>
  <c r="I19" i="2" s="1"/>
  <c r="I20" i="2" s="1"/>
  <c r="I21" i="2" s="1"/>
  <c r="I22" i="2" s="1"/>
  <c r="I23" i="2" s="1"/>
  <c r="I24" i="2" s="1"/>
  <c r="I25" i="2" s="1"/>
  <c r="I26" i="2" s="1"/>
  <c r="K10" i="2"/>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I27" i="2" l="1"/>
  <c r="I28" i="2" s="1"/>
  <c r="I29" i="2" s="1"/>
  <c r="I30" i="2" s="1"/>
  <c r="I31" i="2" s="1"/>
  <c r="I32" i="2" s="1"/>
  <c r="I33" i="2" s="1"/>
  <c r="I34" i="2" s="1"/>
  <c r="I35" i="2" s="1"/>
  <c r="I36" i="2" s="1"/>
  <c r="I37" i="2" s="1"/>
  <c r="I38" i="2" s="1"/>
  <c r="L29" i="2"/>
  <c r="L30" i="2" s="1"/>
  <c r="L31" i="2" s="1"/>
  <c r="L32" i="2" s="1"/>
  <c r="L33" i="2" s="1"/>
  <c r="L34" i="2" s="1"/>
  <c r="L35" i="2" s="1"/>
  <c r="L36" i="2" s="1"/>
  <c r="L37" i="2" s="1"/>
  <c r="L38" i="2" s="1"/>
  <c r="D27" i="1"/>
  <c r="C4" i="2" l="1"/>
</calcChain>
</file>

<file path=xl/sharedStrings.xml><?xml version="1.0" encoding="utf-8"?>
<sst xmlns="http://schemas.openxmlformats.org/spreadsheetml/2006/main" count="117" uniqueCount="95">
  <si>
    <t xml:space="preserve"> </t>
  </si>
  <si>
    <t>Cost Sheet</t>
  </si>
  <si>
    <t>Resident Information</t>
  </si>
  <si>
    <t>Name</t>
  </si>
  <si>
    <t>John Doe</t>
  </si>
  <si>
    <t>Move-in Date</t>
  </si>
  <si>
    <t>New Address</t>
  </si>
  <si>
    <t>Lease End</t>
  </si>
  <si>
    <t>Lease Term (mths)</t>
  </si>
  <si>
    <t>Costs:</t>
  </si>
  <si>
    <t>Holding Fees</t>
  </si>
  <si>
    <t>Monthly Charges</t>
  </si>
  <si>
    <t>Administration Fee</t>
  </si>
  <si>
    <t>Monthly Rent</t>
  </si>
  <si>
    <t>Application Fee</t>
  </si>
  <si>
    <t>Smart Home Package</t>
  </si>
  <si>
    <t>Other (HOA, Short term fee, Bike storage, etc.)</t>
  </si>
  <si>
    <t>Money Due Upon Move In</t>
  </si>
  <si>
    <t>Garage</t>
  </si>
  <si>
    <t>Security Deposit (OAC)</t>
  </si>
  <si>
    <t>Carport</t>
  </si>
  <si>
    <t>Pet Deposit</t>
  </si>
  <si>
    <t>Storage</t>
  </si>
  <si>
    <t>Pet Fee</t>
  </si>
  <si>
    <t>Pet</t>
  </si>
  <si>
    <t>Smart Home Buyer Program</t>
  </si>
  <si>
    <t>Insurance Waiver</t>
  </si>
  <si>
    <t>Monthly Concession</t>
  </si>
  <si>
    <t>Total Due Upon Move In</t>
  </si>
  <si>
    <t>Total Monthly Rent</t>
  </si>
  <si>
    <t>*Your one-time concession of $3500.00 will be given after move-in prorated rent is paid in full.</t>
  </si>
  <si>
    <t>Move-in Day</t>
  </si>
  <si>
    <t>Your move in day is of the utmost importance to us.  All parties who are on the lease must be present to sign documentation (or e-sign prior to the move in date) for apartment keys to be released. In addition please provide the following:</t>
  </si>
  <si>
    <t>-</t>
  </si>
  <si>
    <t>Parcel Pending</t>
  </si>
  <si>
    <t>myparcelpending.com/signup</t>
  </si>
  <si>
    <t xml:space="preserve">Sign up before your move in day to receive packages at your new address. </t>
  </si>
  <si>
    <t>Rocky Mountain Power</t>
  </si>
  <si>
    <t>(888) 221-7070</t>
  </si>
  <si>
    <t>Acct. #</t>
  </si>
  <si>
    <t>Dominion Energy</t>
  </si>
  <si>
    <t>(800) 323-5517</t>
  </si>
  <si>
    <t>Comcast</t>
  </si>
  <si>
    <t>(800) 934-6489</t>
  </si>
  <si>
    <t>Pleasant Grove City (Water/Sewer/Trash)</t>
  </si>
  <si>
    <t>(801)-785-5045</t>
  </si>
  <si>
    <t>(Call at least seven days in advance to ensure set up is complete by move in)</t>
  </si>
  <si>
    <t>Two most recent paystubs or other approved proof of income</t>
  </si>
  <si>
    <t>Required funds for move-in (see above) to be paid via cashier's check, money order, or credit card (fees apply).</t>
  </si>
  <si>
    <t>Water, sewer, trash, and common area electric/gas will be set up for you and billed by BillEase but must be paid to the leasing office each month. Your first bill will have a one-time $25.00 set up fee added to it.</t>
  </si>
  <si>
    <t>For access to shared amenities with The Aston and The Devon, a one-time fee of $75.00 is required.</t>
  </si>
  <si>
    <t>Resident/Manager Acceptance</t>
  </si>
  <si>
    <t>I understand my application fee and administration fee are required to reserve my apartment home. Any holding fees in the same check (deposit and app fee together) or via credit card will be deposited and processed the same day. I understand that if I cancel this application within 24 hours or if my application is declined, it may take 30 days to receive a refund of the refundable portion of the holding fee paid. My personal check or money order can be held for 72 hours before it is deposited. I further understand that my right to cancel this application within 24 hours is terminated once I sign a lease agreement. More importantly, I understand that the 24 hour right to cancel does not apply to the lease agreement once signed. I understand that if I cancel my applictation after 24 hours, I will forfeit the administration fee paid. Once the lease agreement has been signed, any amounts paid shall be governed by the lease agreement.</t>
  </si>
  <si>
    <t>Future Resident Signature</t>
  </si>
  <si>
    <t>Date</t>
  </si>
  <si>
    <r>
      <rPr>
        <sz val="10"/>
        <color theme="1"/>
        <rFont val="Gill Sans MT"/>
        <family val="2"/>
      </rPr>
      <t>©</t>
    </r>
    <r>
      <rPr>
        <sz val="8.5"/>
        <color theme="1"/>
        <rFont val="Arial"/>
        <family val="2"/>
      </rPr>
      <t xml:space="preserve"> ICO Multifamily Property Management 2016. For use only within ICO Companies organization. Unauthorized use, copying, or distribution of this information beyond ICO and the user for which it is intended is strictly prohibited.</t>
    </r>
  </si>
  <si>
    <t>TenantName</t>
  </si>
  <si>
    <t>Apt</t>
  </si>
  <si>
    <t>MoveInDate</t>
  </si>
  <si>
    <t>Admin_Fee</t>
  </si>
  <si>
    <t>App_Fee</t>
  </si>
  <si>
    <t>Security_Deposit</t>
  </si>
  <si>
    <t>Pet_Deposit</t>
  </si>
  <si>
    <t>SHBP</t>
  </si>
  <si>
    <t>Monthly_Rent</t>
  </si>
  <si>
    <t>MediaPackage</t>
  </si>
  <si>
    <t>HOA</t>
  </si>
  <si>
    <t>Parking</t>
  </si>
  <si>
    <t>MonthlyPetFees</t>
  </si>
  <si>
    <t>DirecTV_Provider</t>
  </si>
  <si>
    <t>CommunityName</t>
  </si>
  <si>
    <t>PetFee</t>
  </si>
  <si>
    <t>LeaseTerm</t>
  </si>
  <si>
    <t>lblAddtlAddresses</t>
  </si>
  <si>
    <t>Concession</t>
  </si>
  <si>
    <t>Concession_YesNo</t>
  </si>
  <si>
    <t>Yes</t>
  </si>
  <si>
    <t>txt_MonthlyConcession</t>
  </si>
  <si>
    <t>txt_InsuranceWaiver</t>
  </si>
  <si>
    <t>Item Total</t>
  </si>
  <si>
    <t>ProRate</t>
  </si>
  <si>
    <t>Days-30</t>
  </si>
  <si>
    <t>Month</t>
  </si>
  <si>
    <t>Day</t>
  </si>
  <si>
    <t>ICO Station Parkway</t>
  </si>
  <si>
    <t>Renter's Insurance Declaration Page must have at least $100,000 in personal liability and ICO Station Parkway listed as an additional insured</t>
  </si>
  <si>
    <t>Mereo for Cable TV &amp; Internet</t>
  </si>
  <si>
    <t>(801) 478-7201</t>
  </si>
  <si>
    <t>Water, sewer, trash, unit &amp; common area power/gas, and Valet Waste trash service will be set up for you and billed by BillEase but must be paid to the leasing office each month. Your first bill will have a one-time $25.00 set up fee added to it.</t>
  </si>
  <si>
    <t>590 N. Station Parkway</t>
  </si>
  <si>
    <t>Apt. D-201</t>
  </si>
  <si>
    <t>Farmington, UT 84025</t>
  </si>
  <si>
    <t>ICO Station Parkway Agent</t>
  </si>
  <si>
    <t>D-201</t>
  </si>
  <si>
    <t>Mereo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</si>
</sst>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6" formatCode="&quot;$&quot;#,##0_);[Red]\(&quot;$&quot;#,##0\)"/>
    <numFmt numFmtId="8" formatCode="&quot;$&quot;#,##0.00_);[Red]\(&quot;$&quot;#,##0.00\)"/>
    <numFmt numFmtId="44" formatCode="_(&quot;$&quot;* #,##0.00_);_(&quot;$&quot;* \(#,##0.00\);_(&quot;$&quot;* &quot;-&quot;??_);_(@_)"/>
    <numFmt numFmtId="164" formatCode="&quot;$&quot;#,##0.00"/>
  </numFmts>
  <fonts count="24" x14ac:knownFonts="1">
    <font>
      <sz val="10"/>
      <color theme="1"/>
      <name val="Arial"/>
      <family val="2"/>
      <scheme val="minor"/>
    </font>
    <font>
      <sz val="10"/>
      <color theme="1"/>
      <name val="Gill Sans MT"/>
      <family val="2"/>
    </font>
    <font>
      <b/>
      <sz val="11"/>
      <color rgb="FF3F3F3F"/>
      <name val="Arial"/>
      <family val="2"/>
      <scheme val="minor"/>
    </font>
    <font>
      <sz val="12"/>
      <color theme="1" tint="0.34998626667073579"/>
      <name val="Impact"/>
      <family val="2"/>
      <scheme val="major"/>
    </font>
    <font>
      <sz val="22"/>
      <color theme="1" tint="0.34998626667073579"/>
      <name val="Impact"/>
      <family val="2"/>
      <scheme val="major"/>
    </font>
    <font>
      <sz val="10"/>
      <color theme="1" tint="0.34998626667073579"/>
      <name val="Arial"/>
      <family val="2"/>
      <scheme val="minor"/>
    </font>
    <font>
      <sz val="10"/>
      <color theme="1"/>
      <name val="Arial"/>
      <family val="2"/>
      <scheme val="minor"/>
    </font>
    <font>
      <sz val="14"/>
      <color theme="1" tint="0.34998626667073579"/>
      <name val="Impact"/>
      <family val="2"/>
      <scheme val="major"/>
    </font>
    <font>
      <sz val="10"/>
      <color theme="1"/>
      <name val="Arial"/>
      <family val="2"/>
      <scheme val="minor"/>
    </font>
    <font>
      <sz val="8"/>
      <color theme="0" tint="-0.249977111117893"/>
      <name val="Arial"/>
      <family val="2"/>
      <scheme val="minor"/>
    </font>
    <font>
      <b/>
      <sz val="22"/>
      <color theme="1" tint="0.249977111117893"/>
      <name val="Garamond"/>
      <family val="1"/>
    </font>
    <font>
      <sz val="22"/>
      <color theme="1" tint="0.34998626667073579"/>
      <name val="Garamond"/>
      <family val="1"/>
    </font>
    <font>
      <sz val="10"/>
      <color theme="1"/>
      <name val="Garamond"/>
      <family val="1"/>
    </font>
    <font>
      <b/>
      <sz val="14"/>
      <color theme="1" tint="0.249977111117893"/>
      <name val="Gill Sans MT"/>
      <family val="2"/>
    </font>
    <font>
      <sz val="10"/>
      <color theme="1" tint="0.34998626667073579"/>
      <name val="Calibri"/>
      <family val="2"/>
    </font>
    <font>
      <sz val="11"/>
      <color theme="1" tint="0.34998626667073579"/>
      <name val="Calibri"/>
      <family val="2"/>
    </font>
    <font>
      <sz val="11"/>
      <color theme="1"/>
      <name val="Calibri"/>
      <family val="2"/>
    </font>
    <font>
      <b/>
      <sz val="11"/>
      <color theme="1" tint="0.249977111117893"/>
      <name val="Gill Sans MT"/>
      <family val="2"/>
    </font>
    <font>
      <b/>
      <sz val="10"/>
      <color theme="1" tint="0.34998626667073579"/>
      <name val="Arial"/>
      <family val="2"/>
      <scheme val="minor"/>
    </font>
    <font>
      <i/>
      <sz val="8"/>
      <color theme="1" tint="0.34998626667073579"/>
      <name val="Arial"/>
      <family val="2"/>
      <scheme val="minor"/>
    </font>
    <font>
      <sz val="9"/>
      <color theme="1" tint="0.34998626667073579"/>
      <name val="Arial"/>
      <family val="2"/>
      <scheme val="minor"/>
    </font>
    <font>
      <sz val="8"/>
      <color theme="1" tint="0.34998626667073579"/>
      <name val="Arial"/>
      <family val="2"/>
      <scheme val="minor"/>
    </font>
    <font>
      <sz val="8.5"/>
      <color theme="1"/>
      <name val="Arial"/>
      <family val="2"/>
    </font>
    <font>
      <b/>
      <sz val="12"/>
      <color rgb="FF000000"/>
      <name val="Arial"/>
      <family val="2"/>
    </font>
  </fonts>
  <fills count="8">
    <fill>
      <patternFill patternType="none"/>
    </fill>
    <fill>
      <patternFill patternType="gray125"/>
    </fill>
    <fill>
      <patternFill patternType="solid">
        <fgColor rgb="FFF2F2F2"/>
      </patternFill>
    </fill>
    <fill>
      <patternFill patternType="solid">
        <fgColor theme="0"/>
        <bgColor indexed="64"/>
      </patternFill>
    </fill>
    <fill>
      <patternFill patternType="darkUp">
        <fgColor theme="2" tint="-0.24994659260841701"/>
        <bgColor theme="0" tint="-4.9989318521683403E-2"/>
      </patternFill>
    </fill>
    <fill>
      <patternFill patternType="darkUp">
        <fgColor rgb="FFE72819"/>
        <bgColor rgb="FFF9BEBD"/>
      </patternFill>
    </fill>
    <fill>
      <patternFill patternType="solid">
        <fgColor rgb="FFC00000"/>
        <bgColor indexed="64"/>
      </patternFill>
    </fill>
    <fill>
      <patternFill patternType="solid">
        <fgColor rgb="FFC00000"/>
        <bgColor rgb="FFE72819"/>
      </patternFill>
    </fill>
  </fills>
  <borders count="9">
    <border>
      <left/>
      <right/>
      <top/>
      <bottom/>
      <diagonal/>
    </border>
    <border>
      <left style="thin">
        <color rgb="FF3F3F3F"/>
      </left>
      <right style="thin">
        <color rgb="FF3F3F3F"/>
      </right>
      <top style="thin">
        <color rgb="FF3F3F3F"/>
      </top>
      <bottom style="thin">
        <color rgb="FF3F3F3F"/>
      </bottom>
      <diagonal/>
    </border>
    <border>
      <left/>
      <right/>
      <top/>
      <bottom style="thin">
        <color theme="1" tint="0.34998626667073579"/>
      </bottom>
      <diagonal/>
    </border>
    <border>
      <left/>
      <right/>
      <top/>
      <bottom style="thin">
        <color theme="0" tint="-0.14999847407452621"/>
      </bottom>
      <diagonal/>
    </border>
    <border>
      <left/>
      <right/>
      <top style="thin">
        <color theme="0" tint="-0.14999847407452621"/>
      </top>
      <bottom/>
      <diagonal/>
    </border>
    <border>
      <left/>
      <right/>
      <top style="thin">
        <color theme="0" tint="-0.14999847407452621"/>
      </top>
      <bottom style="thin">
        <color theme="0" tint="-0.14999847407452621"/>
      </bottom>
      <diagonal/>
    </border>
    <border>
      <left/>
      <right/>
      <top/>
      <bottom style="medium">
        <color theme="0" tint="-0.34998626667073579"/>
      </bottom>
      <diagonal/>
    </border>
    <border>
      <left/>
      <right/>
      <top style="thin">
        <color theme="0" tint="-0.14999847407452621"/>
      </top>
      <bottom style="medium">
        <color theme="0" tint="-0.34998626667073579"/>
      </bottom>
      <diagonal/>
    </border>
    <border>
      <left/>
      <right/>
      <top style="medium">
        <color theme="0" tint="-0.34998626667073579"/>
      </top>
      <bottom/>
      <diagonal/>
    </border>
  </borders>
  <cellStyleXfs count="9">
    <xf numFmtId="0" fontId="0" fillId="0" borderId="0"/>
    <xf numFmtId="0" fontId="2" fillId="2" borderId="1" applyNumberFormat="0" applyAlignment="0" applyProtection="0"/>
    <xf numFmtId="0" fontId="4" fillId="0" borderId="0" applyNumberFormat="0" applyFill="0" applyBorder="0" applyProtection="0">
      <alignment vertical="center"/>
    </xf>
    <xf numFmtId="0" fontId="7" fillId="0" borderId="0" applyNumberFormat="0" applyFill="0" applyBorder="0" applyProtection="0">
      <alignment vertical="center"/>
    </xf>
    <xf numFmtId="0" fontId="7" fillId="0" borderId="0" applyNumberFormat="0" applyFill="0" applyBorder="0" applyAlignment="0" applyProtection="0"/>
    <xf numFmtId="0" fontId="3" fillId="0" borderId="0"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44" fontId="6" fillId="0" borderId="0" applyFont="0" applyFill="0" applyBorder="0" applyAlignment="0" applyProtection="0"/>
  </cellStyleXfs>
  <cellXfs count="73">
    <xf numFmtId="0" fontId="0" fillId="0" borderId="0" xfId="0"/>
    <xf numFmtId="14" fontId="0" fillId="0" borderId="0" xfId="0" applyNumberFormat="1"/>
    <xf numFmtId="8" fontId="0" fillId="0" borderId="0" xfId="0" applyNumberFormat="1"/>
    <xf numFmtId="6" fontId="0" fillId="0" borderId="0" xfId="0" applyNumberFormat="1"/>
    <xf numFmtId="0" fontId="8" fillId="0" borderId="0" xfId="0" applyFont="1"/>
    <xf numFmtId="14" fontId="9" fillId="0" borderId="0" xfId="0" applyNumberFormat="1" applyFont="1" applyAlignment="1">
      <alignment vertical="top"/>
    </xf>
    <xf numFmtId="0" fontId="8" fillId="0" borderId="0" xfId="0" applyFont="1" applyAlignment="1">
      <alignment vertical="center"/>
    </xf>
    <xf numFmtId="0" fontId="10" fillId="0" borderId="0" xfId="2" applyFont="1" applyAlignment="1">
      <alignment horizontal="centerContinuous" vertical="center"/>
    </xf>
    <xf numFmtId="0" fontId="11" fillId="0" borderId="0" xfId="2" applyFont="1" applyAlignment="1">
      <alignment horizontal="centerContinuous" vertical="center"/>
    </xf>
    <xf numFmtId="0" fontId="12" fillId="0" borderId="0" xfId="0" applyFont="1" applyAlignment="1">
      <alignment horizontal="centerContinuous" vertical="center"/>
    </xf>
    <xf numFmtId="0" fontId="8" fillId="6" borderId="0" xfId="0" applyFont="1" applyFill="1"/>
    <xf numFmtId="0" fontId="13" fillId="0" borderId="0" xfId="3" applyFont="1">
      <alignment vertical="center"/>
    </xf>
    <xf numFmtId="0" fontId="14" fillId="0" borderId="0" xfId="0" applyFont="1"/>
    <xf numFmtId="0" fontId="15" fillId="0" borderId="0" xfId="0" applyFont="1"/>
    <xf numFmtId="0" fontId="16" fillId="0" borderId="0" xfId="0" applyFont="1"/>
    <xf numFmtId="0" fontId="16" fillId="0" borderId="4" xfId="0" applyFont="1" applyBorder="1"/>
    <xf numFmtId="0" fontId="17" fillId="0" borderId="0" xfId="0" applyFont="1"/>
    <xf numFmtId="0" fontId="18" fillId="0" borderId="6" xfId="0" applyFont="1" applyBorder="1"/>
    <xf numFmtId="164" fontId="18" fillId="0" borderId="6" xfId="0" applyNumberFormat="1" applyFont="1" applyBorder="1"/>
    <xf numFmtId="8" fontId="18" fillId="0" borderId="7" xfId="8" applyNumberFormat="1" applyFont="1" applyFill="1" applyBorder="1"/>
    <xf numFmtId="0" fontId="19" fillId="3" borderId="0" xfId="1" applyFont="1" applyFill="1" applyBorder="1" applyAlignment="1" applyProtection="1">
      <alignment horizontal="left" vertical="center"/>
      <protection locked="0"/>
    </xf>
    <xf numFmtId="0" fontId="18" fillId="0" borderId="0" xfId="0" applyFont="1"/>
    <xf numFmtId="0" fontId="21" fillId="0" borderId="0" xfId="0" applyFont="1" applyAlignment="1">
      <alignment vertical="top" wrapText="1"/>
    </xf>
    <xf numFmtId="0" fontId="5" fillId="3" borderId="0" xfId="1" quotePrefix="1" applyFont="1" applyFill="1" applyBorder="1" applyAlignment="1" applyProtection="1">
      <alignment horizontal="left" vertical="center" wrapText="1"/>
      <protection locked="0"/>
    </xf>
    <xf numFmtId="0" fontId="5" fillId="3" borderId="0" xfId="1" applyFont="1" applyFill="1" applyBorder="1" applyAlignment="1" applyProtection="1">
      <alignment horizontal="left" vertical="center" wrapText="1"/>
      <protection locked="0"/>
    </xf>
    <xf numFmtId="0" fontId="5" fillId="0" borderId="3" xfId="0" applyFont="1" applyBorder="1" applyAlignment="1" applyProtection="1">
      <alignment wrapText="1"/>
      <protection locked="0"/>
    </xf>
    <xf numFmtId="0" fontId="5" fillId="3" borderId="0" xfId="1" quotePrefix="1" applyFont="1" applyFill="1" applyBorder="1" applyAlignment="1" applyProtection="1">
      <alignment horizontal="left" vertical="top" wrapText="1"/>
      <protection locked="0"/>
    </xf>
    <xf numFmtId="0" fontId="8" fillId="3" borderId="0" xfId="0" applyFont="1" applyFill="1"/>
    <xf numFmtId="0" fontId="5" fillId="0" borderId="0" xfId="0" applyFont="1" applyAlignment="1" applyProtection="1">
      <alignment horizontal="left" vertical="center" wrapText="1"/>
      <protection locked="0"/>
    </xf>
    <xf numFmtId="0" fontId="5" fillId="0" borderId="0" xfId="0" applyFont="1" applyAlignment="1">
      <alignment horizontal="left" vertical="center" wrapText="1"/>
    </xf>
    <xf numFmtId="0" fontId="5" fillId="0" borderId="0" xfId="0" applyFont="1" applyAlignment="1">
      <alignment vertical="center"/>
    </xf>
    <xf numFmtId="0" fontId="8" fillId="0" borderId="0" xfId="0" applyFont="1" applyAlignment="1" applyProtection="1">
      <alignment vertical="center"/>
      <protection hidden="1"/>
    </xf>
    <xf numFmtId="0" fontId="5" fillId="3" borderId="0" xfId="1" applyFont="1" applyFill="1" applyBorder="1" applyAlignment="1" applyProtection="1">
      <alignment horizontal="left" vertical="center"/>
      <protection locked="0"/>
    </xf>
    <xf numFmtId="0" fontId="5" fillId="0" borderId="0" xfId="1" applyFont="1" applyFill="1" applyBorder="1" applyAlignment="1" applyProtection="1">
      <alignment horizontal="left" vertical="center"/>
      <protection locked="0"/>
    </xf>
    <xf numFmtId="0" fontId="5" fillId="0" borderId="0" xfId="1" applyFont="1" applyFill="1" applyBorder="1" applyAlignment="1" applyProtection="1">
      <alignment horizontal="left" vertical="center" wrapText="1"/>
      <protection locked="0"/>
    </xf>
    <xf numFmtId="0" fontId="6" fillId="0" borderId="0" xfId="0" applyFont="1"/>
    <xf numFmtId="0" fontId="6" fillId="0" borderId="0" xfId="0" applyFont="1" applyAlignment="1">
      <alignment vertical="center"/>
    </xf>
    <xf numFmtId="0" fontId="6" fillId="7" borderId="0" xfId="0" applyFont="1" applyFill="1"/>
    <xf numFmtId="0" fontId="6" fillId="6" borderId="0" xfId="0" applyFont="1" applyFill="1"/>
    <xf numFmtId="0" fontId="7" fillId="0" borderId="0" xfId="3">
      <alignment vertical="center"/>
    </xf>
    <xf numFmtId="0" fontId="6" fillId="5" borderId="0" xfId="0" applyFont="1" applyFill="1"/>
    <xf numFmtId="0" fontId="5" fillId="0" borderId="0" xfId="0" applyFont="1"/>
    <xf numFmtId="0" fontId="5" fillId="0" borderId="3" xfId="0" applyFont="1" applyBorder="1"/>
    <xf numFmtId="14" fontId="5" fillId="0" borderId="3" xfId="0" applyNumberFormat="1" applyFont="1" applyBorder="1" applyAlignment="1">
      <alignment horizontal="left"/>
    </xf>
    <xf numFmtId="14" fontId="6" fillId="0" borderId="0" xfId="0" applyNumberFormat="1" applyFont="1"/>
    <xf numFmtId="0" fontId="5" fillId="0" borderId="3" xfId="0" applyFont="1" applyBorder="1" applyAlignment="1">
      <alignment horizontal="left"/>
    </xf>
    <xf numFmtId="0" fontId="6" fillId="4" borderId="0" xfId="0" applyFont="1" applyFill="1"/>
    <xf numFmtId="8" fontId="5" fillId="0" borderId="3" xfId="0" applyNumberFormat="1" applyFont="1" applyBorder="1"/>
    <xf numFmtId="8" fontId="5" fillId="0" borderId="3" xfId="8" applyNumberFormat="1" applyFont="1" applyFill="1" applyBorder="1"/>
    <xf numFmtId="10" fontId="6" fillId="0" borderId="0" xfId="0" applyNumberFormat="1" applyFont="1"/>
    <xf numFmtId="8" fontId="5" fillId="0" borderId="5" xfId="0" applyNumberFormat="1" applyFont="1" applyBorder="1"/>
    <xf numFmtId="8" fontId="5" fillId="0" borderId="5" xfId="8" applyNumberFormat="1" applyFont="1" applyFill="1" applyBorder="1"/>
    <xf numFmtId="8" fontId="5" fillId="0" borderId="0" xfId="0" applyNumberFormat="1" applyFont="1"/>
    <xf numFmtId="8" fontId="5" fillId="0" borderId="0" xfId="8" applyNumberFormat="1" applyFont="1" applyFill="1" applyBorder="1" applyAlignment="1">
      <alignment vertical="top"/>
    </xf>
    <xf numFmtId="0" fontId="6" fillId="0" borderId="0" xfId="0" quotePrefix="1" applyFont="1"/>
    <xf numFmtId="8" fontId="5" fillId="0" borderId="4" xfId="8" applyNumberFormat="1" applyFont="1" applyFill="1" applyBorder="1"/>
    <xf numFmtId="0" fontId="5" fillId="0" borderId="0" xfId="0" applyFont="1" applyAlignment="1">
      <alignment horizontal="left" vertical="center"/>
    </xf>
    <xf numFmtId="8" fontId="6" fillId="0" borderId="0" xfId="0" applyNumberFormat="1" applyFont="1"/>
    <xf numFmtId="0" fontId="5" fillId="0" borderId="0" xfId="0" applyFont="1" applyAlignment="1">
      <alignment horizontal="left" vertical="top" wrapText="1"/>
    </xf>
    <xf numFmtId="0" fontId="6" fillId="0" borderId="0" xfId="0" applyFont="1" applyAlignment="1">
      <alignment horizontal="left"/>
    </xf>
    <xf numFmtId="0" fontId="5" fillId="0" borderId="3" xfId="0" applyFont="1" applyBorder="1" applyAlignment="1">
      <alignment vertical="center"/>
    </xf>
    <xf numFmtId="0" fontId="5" fillId="3" borderId="0" xfId="1" quotePrefix="1" applyFont="1" applyFill="1" applyBorder="1" applyAlignment="1" applyProtection="1">
      <alignment horizontal="left" vertical="center" wrapText="1"/>
      <protection locked="0" hidden="1"/>
    </xf>
    <xf numFmtId="0" fontId="6" fillId="0" borderId="2" xfId="0" applyFont="1" applyBorder="1"/>
    <xf numFmtId="3" fontId="0" fillId="0" borderId="0" xfId="0" applyNumberFormat="1"/>
    <xf numFmtId="0" fontId="5" fillId="0" borderId="0" xfId="0" applyFont="1" applyAlignment="1">
      <alignment horizontal="left"/>
    </xf>
    <xf numFmtId="0" fontId="21" fillId="0" borderId="0" xfId="0" applyFont="1" applyAlignment="1">
      <alignment horizontal="left" vertical="top" wrapText="1"/>
    </xf>
    <xf numFmtId="0" fontId="5" fillId="0" borderId="8" xfId="0" applyFont="1" applyBorder="1" applyAlignment="1">
      <alignment horizontal="right" vertical="top" wrapText="1"/>
    </xf>
    <xf numFmtId="0" fontId="5" fillId="0" borderId="0" xfId="0" applyFont="1" applyAlignment="1">
      <alignment horizontal="right" vertical="top" wrapText="1"/>
    </xf>
    <xf numFmtId="0" fontId="5" fillId="0" borderId="0" xfId="1" applyFont="1" applyFill="1" applyBorder="1" applyAlignment="1" applyProtection="1">
      <alignment horizontal="left" vertical="center" wrapText="1"/>
      <protection locked="0"/>
    </xf>
    <xf numFmtId="0" fontId="5" fillId="3" borderId="0" xfId="1" applyFont="1" applyFill="1" applyBorder="1" applyAlignment="1" applyProtection="1">
      <alignment horizontal="left" vertical="center" wrapText="1"/>
      <protection locked="0" hidden="1"/>
    </xf>
    <xf numFmtId="0" fontId="20" fillId="0" borderId="0" xfId="0" applyFont="1" applyAlignment="1">
      <alignment horizontal="left" vertical="top" wrapText="1"/>
    </xf>
    <xf numFmtId="0" fontId="5" fillId="0" borderId="0" xfId="1" applyFont="1" applyFill="1" applyBorder="1" applyAlignment="1" applyProtection="1">
      <alignment horizontal="left" vertical="center" wrapText="1"/>
    </xf>
    <xf numFmtId="0" fontId="5" fillId="3" borderId="0" xfId="1" applyFont="1" applyFill="1" applyBorder="1" applyAlignment="1" applyProtection="1">
      <alignment horizontal="left" vertical="top" wrapText="1"/>
    </xf>
  </cellXfs>
  <cellStyles count="9">
    <cellStyle name="Currency" xfId="8" builtinId="4"/>
    <cellStyle name="Followed Hyperlink" xfId="7" builtinId="9" customBuiltin="1"/>
    <cellStyle name="Heading 1" xfId="3" builtinId="16" customBuiltin="1"/>
    <cellStyle name="Heading 2" xfId="4" builtinId="17" customBuiltin="1"/>
    <cellStyle name="Heading 3" xfId="5" builtinId="18" customBuiltin="1"/>
    <cellStyle name="Hyperlink" xfId="6" builtinId="8" customBuiltin="1"/>
    <cellStyle name="Normal" xfId="0" builtinId="0" customBuiltin="1"/>
    <cellStyle name="Output" xfId="1" builtinId="21"/>
    <cellStyle name="Title" xfId="2" builtinId="15" customBuiltin="1"/>
  </cellStyles>
  <dxfs count="7">
    <dxf>
      <fill>
        <patternFill>
          <bgColor rgb="FFFF0000"/>
        </patternFill>
      </fill>
    </dxf>
    <dxf>
      <font>
        <b val="0"/>
        <i val="0"/>
        <color theme="0"/>
      </font>
      <fill>
        <patternFill>
          <bgColor theme="0"/>
        </patternFill>
      </fill>
      <border diagonalUp="0" diagonalDown="0">
        <left/>
        <right/>
        <top/>
        <bottom/>
        <vertical/>
        <horizontal/>
      </border>
    </dxf>
    <dxf>
      <font>
        <b val="0"/>
        <i val="0"/>
        <color theme="0"/>
      </font>
      <fill>
        <patternFill>
          <bgColor theme="0"/>
        </patternFill>
      </fill>
      <border diagonalUp="0" diagonalDown="0">
        <left/>
        <right/>
        <top/>
        <bottom/>
        <vertical/>
        <horizontal/>
      </border>
    </dxf>
    <dxf>
      <font>
        <b val="0"/>
        <i val="0"/>
        <color theme="0"/>
      </font>
      <fill>
        <patternFill>
          <bgColor theme="0"/>
        </patternFill>
      </fill>
      <border diagonalUp="0" diagonalDown="0">
        <left/>
        <right/>
        <top/>
        <bottom/>
        <vertical/>
        <horizontal/>
      </border>
    </dxf>
    <dxf>
      <font>
        <b val="0"/>
        <i val="0"/>
        <color theme="1" tint="0.34998626667073579"/>
      </font>
      <fill>
        <patternFill>
          <bgColor theme="0"/>
        </patternFill>
      </fill>
      <border diagonalUp="0" diagonalDown="0">
        <left/>
        <right/>
        <top style="thin">
          <color theme="0" tint="-0.14996795556505021"/>
        </top>
        <bottom style="thin">
          <color theme="0" tint="-0.14996795556505021"/>
        </bottom>
        <vertical/>
        <horizontal style="thin">
          <color theme="0" tint="-0.14996795556505021"/>
        </horizontal>
      </border>
    </dxf>
    <dxf>
      <font>
        <b/>
        <i val="0"/>
        <color theme="1" tint="0.34998626667073579"/>
      </font>
      <fill>
        <patternFill patternType="solid">
          <fgColor theme="1"/>
          <bgColor theme="0"/>
        </patternFill>
      </fill>
      <border diagonalUp="0" diagonalDown="0">
        <left/>
        <right/>
        <top/>
        <bottom style="thin">
          <color theme="0" tint="-0.14996795556505021"/>
        </bottom>
        <vertical/>
        <horizontal style="thin">
          <color theme="0" tint="-0.14996795556505021"/>
        </horizontal>
      </border>
    </dxf>
    <dxf>
      <font>
        <b val="0"/>
        <i val="0"/>
        <color theme="1" tint="0.34998626667073579"/>
      </font>
      <fill>
        <patternFill>
          <bgColor theme="0"/>
        </patternFill>
      </fill>
      <border diagonalUp="0" diagonalDown="0">
        <left/>
        <right/>
        <top style="thin">
          <color theme="0" tint="-0.14996795556505021"/>
        </top>
        <bottom style="thin">
          <color theme="0" tint="-0.14996795556505021"/>
        </bottom>
        <vertical/>
        <horizontal style="thin">
          <color theme="0" tint="-0.14996795556505021"/>
        </horizontal>
      </border>
    </dxf>
  </dxfs>
  <tableStyles count="1" defaultTableStyle="TableStyleMedium2" defaultPivotStyle="PivotStyleLight16">
    <tableStyle name="ConstructionBidSheet_table1" pivot="0" count="6" xr9:uid="{00000000-0011-0000-FFFF-FFFF00000000}">
      <tableStyleElement type="wholeTable" dxfId="6"/>
      <tableStyleElement type="headerRow" dxfId="5"/>
      <tableStyleElement type="totalRow" dxfId="4"/>
      <tableStyleElement type="lastColumn" dxfId="3"/>
      <tableStyleElement type="lastHeaderCell" dxfId="2"/>
      <tableStyleElement type="lastTotalCell" dxfId="1"/>
    </tableStyle>
  </tableStyles>
  <colors>
    <mruColors>
      <color rgb="FFE72819"/>
      <color rgb="FFF9BEBD"/>
      <color rgb="FFEE423E"/>
      <color rgb="FFFA000C"/>
      <color rgb="FFFFCDCF"/>
      <color rgb="FF8A000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xdr:twoCellAnchor editAs="oneCell">
    <xdr:from>
      <xdr:col>6</xdr:col>
      <xdr:colOff>1407291</xdr:colOff>
      <xdr:row>1</xdr:row>
      <xdr:rowOff>49650</xdr:rowOff>
    </xdr:from>
    <xdr:to>
      <xdr:col>8</xdr:col>
      <xdr:colOff>7943</xdr:colOff>
      <xdr:row>4</xdr:row>
      <xdr:rowOff>7178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81084" b="-7819"/>
        <a:stretch/>
      </xdr:blipFill>
      <xdr:spPr>
        <a:xfrm>
          <a:off x="8577018" y="188195"/>
          <a:ext cx="800350" cy="612444"/>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266700</xdr:colOff>
          <xdr:row>8</xdr:row>
          <xdr:rowOff>19050</xdr:rowOff>
        </xdr:from>
        <xdr:to>
          <xdr:col>11</xdr:col>
          <xdr:colOff>209550</xdr:colOff>
          <xdr:row>11</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Form</a:t>
              </a:r>
            </a:p>
          </xdr:txBody>
        </xdr:sp>
        <xdr:clientData fPrintsWithSheet="0"/>
      </xdr:twoCellAnchor>
    </mc:Choice>
    <mc:Fallback/>
  </mc:AlternateContent>
  <xdr:twoCellAnchor editAs="oneCell">
    <xdr:from>
      <xdr:col>6</xdr:col>
      <xdr:colOff>1738791</xdr:colOff>
      <xdr:row>63</xdr:row>
      <xdr:rowOff>15429</xdr:rowOff>
    </xdr:from>
    <xdr:to>
      <xdr:col>6</xdr:col>
      <xdr:colOff>2144308</xdr:colOff>
      <xdr:row>64</xdr:row>
      <xdr:rowOff>123632</xdr:rowOff>
    </xdr:to>
    <xdr:pic>
      <xdr:nvPicPr>
        <xdr:cNvPr id="4" name="Picture 3" descr="Image result for fair housing logo">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b="27549"/>
        <a:stretch/>
      </xdr:blipFill>
      <xdr:spPr bwMode="auto">
        <a:xfrm>
          <a:off x="8920641" y="12083604"/>
          <a:ext cx="408692" cy="3018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Decatur">
  <a:themeElements>
    <a:clrScheme name="ConstructionBidSheet_colors">
      <a:dk1>
        <a:srgbClr val="000000"/>
      </a:dk1>
      <a:lt1>
        <a:srgbClr val="FFFFFF"/>
      </a:lt1>
      <a:dk2>
        <a:srgbClr val="000000"/>
      </a:dk2>
      <a:lt2>
        <a:srgbClr val="FFFFFF"/>
      </a:lt2>
      <a:accent1>
        <a:srgbClr val="E8B31C"/>
      </a:accent1>
      <a:accent2>
        <a:srgbClr val="499000"/>
      </a:accent2>
      <a:accent3>
        <a:srgbClr val="D94717"/>
      </a:accent3>
      <a:accent4>
        <a:srgbClr val="2374B8"/>
      </a:accent4>
      <a:accent5>
        <a:srgbClr val="E77712"/>
      </a:accent5>
      <a:accent6>
        <a:srgbClr val="7947A9"/>
      </a:accent6>
      <a:hlink>
        <a:srgbClr val="2374B8"/>
      </a:hlink>
      <a:folHlink>
        <a:srgbClr val="7947A9"/>
      </a:folHlink>
    </a:clrScheme>
    <a:fontScheme name="ConstructionBidSheet_fonts">
      <a:majorFont>
        <a:latin typeface="Impact"/>
        <a:ea typeface=""/>
        <a:cs typeface=""/>
      </a:majorFont>
      <a:minorFont>
        <a:latin typeface="Arial"/>
        <a:ea typeface=""/>
        <a:cs typeface=""/>
      </a:minorFont>
    </a:fontScheme>
    <a:fmtScheme name="Decatur">
      <a:fillStyleLst>
        <a:solidFill>
          <a:schemeClr val="phClr"/>
        </a:solidFill>
        <a:gradFill rotWithShape="1">
          <a:gsLst>
            <a:gs pos="0">
              <a:schemeClr val="phClr">
                <a:tint val="90000"/>
                <a:satMod val="110000"/>
              </a:schemeClr>
            </a:gs>
            <a:gs pos="47500">
              <a:schemeClr val="phClr">
                <a:tint val="53000"/>
                <a:satMod val="120000"/>
              </a:schemeClr>
            </a:gs>
            <a:gs pos="58500">
              <a:schemeClr val="phClr">
                <a:tint val="53000"/>
                <a:satMod val="120000"/>
              </a:schemeClr>
            </a:gs>
            <a:gs pos="100000">
              <a:schemeClr val="phClr">
                <a:tint val="90000"/>
                <a:satMod val="110000"/>
              </a:schemeClr>
            </a:gs>
          </a:gsLst>
          <a:lin ang="3600000" scaled="1"/>
        </a:gradFill>
        <a:gradFill rotWithShape="1">
          <a:gsLst>
            <a:gs pos="0">
              <a:schemeClr val="phClr">
                <a:shade val="54000"/>
                <a:satMod val="105000"/>
              </a:schemeClr>
            </a:gs>
            <a:gs pos="47500">
              <a:schemeClr val="phClr">
                <a:shade val="88000"/>
                <a:satMod val="105000"/>
              </a:schemeClr>
            </a:gs>
            <a:gs pos="58500">
              <a:schemeClr val="phClr">
                <a:shade val="88000"/>
                <a:satMod val="105000"/>
              </a:schemeClr>
            </a:gs>
            <a:gs pos="100000">
              <a:schemeClr val="phClr">
                <a:shade val="54000"/>
                <a:satMod val="105000"/>
              </a:schemeClr>
            </a:gs>
          </a:gsLst>
          <a:lin ang="3600000" scaled="1"/>
        </a:gradFill>
      </a:fillStyleLst>
      <a:lnStyleLst>
        <a:ln w="10000" cap="flat" cmpd="sng" algn="ctr">
          <a:solidFill>
            <a:schemeClr val="phClr"/>
          </a:solidFill>
          <a:prstDash val="solid"/>
        </a:ln>
        <a:ln w="2825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3600000" algn="r" rotWithShape="0">
              <a:srgbClr val="000000">
                <a:alpha val="30000"/>
              </a:srgbClr>
            </a:outerShdw>
          </a:effectLst>
        </a:effectStyle>
        <a:effectStyle>
          <a:effectLst>
            <a:outerShdw blurRad="63500" dist="25400" dir="3600000" algn="r" rotWithShape="0">
              <a:srgbClr val="000000">
                <a:alpha val="36000"/>
              </a:srgbClr>
            </a:outerShdw>
          </a:effectLst>
          <a:scene3d>
            <a:camera prst="orthographicFront">
              <a:rot lat="0" lon="0" rev="0"/>
            </a:camera>
            <a:lightRig rig="harsh" dir="tl">
              <a:rot lat="0" lon="0" rev="9000000"/>
            </a:lightRig>
          </a:scene3d>
          <a:sp3d prstMaterial="flat">
            <a:bevelT w="38100" h="50800" prst="softRound"/>
          </a:sp3d>
        </a:effectStyle>
        <a:effectStyle>
          <a:effectLst>
            <a:outerShdw blurRad="76200" dist="38100" dir="3600000" algn="r" rotWithShape="0">
              <a:srgbClr val="000000">
                <a:alpha val="60000"/>
              </a:srgbClr>
            </a:outerShdw>
          </a:effectLst>
          <a:scene3d>
            <a:camera prst="orthographicFront">
              <a:rot lat="0" lon="0" rev="0"/>
            </a:camera>
            <a:lightRig rig="harsh" dir="tl">
              <a:rot lat="0" lon="0" rev="9000000"/>
            </a:lightRig>
          </a:scene3d>
          <a:sp3d contourW="44450" prstMaterial="flat">
            <a:bevelT w="38100" h="50800" prst="softRound"/>
            <a:contourClr>
              <a:schemeClr val="phClr">
                <a:tint val="5"/>
                <a:satMod val="130000"/>
              </a:schemeClr>
            </a:contourClr>
          </a:sp3d>
        </a:effectStyle>
      </a:effectStyleLst>
      <a:bgFillStyleLst>
        <a:solidFill>
          <a:schemeClr val="phClr"/>
        </a:solidFill>
        <a:gradFill rotWithShape="1">
          <a:gsLst>
            <a:gs pos="0">
              <a:schemeClr val="phClr">
                <a:tint val="100000"/>
                <a:shade val="52000"/>
                <a:satMod val="105000"/>
              </a:schemeClr>
            </a:gs>
            <a:gs pos="47500">
              <a:schemeClr val="phClr">
                <a:tint val="90000"/>
                <a:shade val="89000"/>
                <a:satMod val="105000"/>
              </a:schemeClr>
            </a:gs>
            <a:gs pos="58500">
              <a:schemeClr val="phClr">
                <a:tint val="85000"/>
                <a:shade val="89000"/>
                <a:satMod val="105000"/>
              </a:schemeClr>
            </a:gs>
            <a:gs pos="100000">
              <a:schemeClr val="phClr">
                <a:tint val="100000"/>
                <a:shade val="52000"/>
                <a:satMod val="105000"/>
              </a:schemeClr>
            </a:gs>
          </a:gsLst>
          <a:lin ang="3600000" scaled="0"/>
        </a:gradFill>
        <a:blipFill rotWithShape="1">
          <a:blip xmlns:r="http://schemas.openxmlformats.org/officeDocument/2006/relationships" r:embed="rId1">
            <a:duotone>
              <a:schemeClr val="phClr">
                <a:tint val="98000"/>
              </a:schemeClr>
              <a:schemeClr val="phClr">
                <a:shade val="85000"/>
                <a:satMod val="120000"/>
              </a:schemeClr>
            </a:duotone>
          </a:blip>
          <a:tile tx="0" ty="0" sx="52000" sy="52000" flip="none" algn="tl"/>
        </a:blipFill>
      </a:bgFillStyleLst>
    </a:fmtScheme>
  </a:themeElements>
  <a:objectDefaults>
    <a:spDef>
      <a:spPr>
        <a:noFill/>
        <a:ln w="28575">
          <a:solidFill>
            <a:schemeClr val="accent1"/>
          </a:solidFill>
        </a:ln>
        <a:effectLst/>
      </a:spPr>
      <a:bodyPr vertOverflow="clip" horzOverflow="clip" rtlCol="0" anchor="ctr"/>
      <a:lstStyle>
        <a:defPPr algn="l">
          <a:defRPr sz="1000" b="1"/>
        </a:defPPr>
      </a:lstStyle>
      <a:style>
        <a:lnRef idx="1">
          <a:schemeClr val="accent2"/>
        </a:lnRef>
        <a:fillRef idx="2">
          <a:schemeClr val="accent2"/>
        </a:fillRef>
        <a:effectRef idx="1">
          <a:schemeClr val="accent2"/>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A1:O68"/>
  <sheetViews>
    <sheetView showGridLines="0" tabSelected="1" topLeftCell="A19" zoomScale="130" zoomScaleNormal="130" zoomScaleSheetLayoutView="77" workbookViewId="0">
      <selection activeCell="D9" sqref="D9"/>
    </sheetView>
  </sheetViews>
  <sheetFormatPr defaultColWidth="9.28515625" defaultRowHeight="12.75" outlineLevelRow="1" x14ac:dyDescent="0.2"/>
  <cols>
    <col min="1" max="1" width="0.7109375" style="4" customWidth="1"/>
    <col min="2" max="2" width="2.7109375" style="4" customWidth="1"/>
    <col min="3" max="3" width="23.7109375" style="4" customWidth="1"/>
    <col min="4" max="4" width="33.28515625" style="4" customWidth="1"/>
    <col min="5" max="5" width="17" style="4" customWidth="1"/>
    <col min="6" max="6" width="30.28515625" style="4" customWidth="1"/>
    <col min="7" max="7" width="32.5703125" style="4" customWidth="1"/>
    <col min="8" max="8" width="0.5703125" style="4" customWidth="1"/>
    <col min="9" max="9" width="9.7109375" style="4" bestFit="1" customWidth="1"/>
    <col min="10" max="16384" width="9.28515625" style="4"/>
  </cols>
  <sheetData>
    <row r="1" spans="1:10" ht="10.5" customHeight="1" x14ac:dyDescent="0.2">
      <c r="A1" s="35"/>
      <c r="B1" s="35"/>
      <c r="C1" s="35"/>
      <c r="D1" s="35"/>
      <c r="E1" s="35"/>
      <c r="F1" s="35"/>
      <c r="G1" s="5">
        <v>44998</v>
      </c>
      <c r="H1" s="35"/>
      <c r="I1" s="35"/>
      <c r="J1" s="35"/>
    </row>
    <row r="2" spans="1:10" s="6" customFormat="1" ht="25.5" customHeight="1" x14ac:dyDescent="0.2">
      <c r="A2" s="36"/>
      <c r="B2" s="7" t="s">
        <v>84</v>
      </c>
      <c r="C2" s="8"/>
      <c r="D2" s="9"/>
      <c r="E2" s="9"/>
      <c r="F2" s="9"/>
      <c r="G2" s="9"/>
      <c r="H2" s="36" t="s">
        <v>0</v>
      </c>
      <c r="I2" s="36"/>
      <c r="J2" s="36"/>
    </row>
    <row r="3" spans="1:10" s="6" customFormat="1" ht="24.6" customHeight="1" x14ac:dyDescent="0.2">
      <c r="A3" s="36"/>
      <c r="B3" s="7" t="s">
        <v>1</v>
      </c>
      <c r="C3" s="8"/>
      <c r="D3" s="9"/>
      <c r="E3" s="9"/>
      <c r="F3" s="9"/>
      <c r="G3" s="9"/>
      <c r="H3" s="36"/>
      <c r="I3" s="36"/>
      <c r="J3" s="36"/>
    </row>
    <row r="4" spans="1:10" s="10" customFormat="1" ht="1.5" customHeight="1" x14ac:dyDescent="0.2">
      <c r="A4" s="35"/>
      <c r="B4" s="37"/>
      <c r="C4" s="37"/>
      <c r="D4" s="37"/>
      <c r="E4" s="37"/>
      <c r="F4" s="37"/>
      <c r="G4" s="37"/>
      <c r="H4" s="35"/>
      <c r="I4" s="38"/>
      <c r="J4" s="38"/>
    </row>
    <row r="5" spans="1:10" ht="7.5" customHeight="1" x14ac:dyDescent="0.2">
      <c r="A5" s="35"/>
      <c r="B5" s="35"/>
      <c r="C5" s="35"/>
      <c r="D5" s="35"/>
      <c r="E5" s="35"/>
      <c r="F5" s="35"/>
      <c r="G5" s="35"/>
      <c r="H5" s="35"/>
      <c r="I5" s="35"/>
      <c r="J5" s="35"/>
    </row>
    <row r="6" spans="1:10" ht="24.75" customHeight="1" x14ac:dyDescent="0.2">
      <c r="A6" s="35"/>
      <c r="B6" s="11" t="s">
        <v>2</v>
      </c>
      <c r="C6" s="39"/>
      <c r="D6" s="35"/>
      <c r="E6" s="35"/>
      <c r="F6" s="39"/>
      <c r="G6" s="35"/>
      <c r="H6" s="35"/>
      <c r="I6" s="35"/>
      <c r="J6" s="35"/>
    </row>
    <row r="7" spans="1:10" ht="4.5" customHeight="1" x14ac:dyDescent="0.2">
      <c r="A7" s="35"/>
      <c r="B7" s="40"/>
      <c r="C7" s="40"/>
      <c r="D7" s="40"/>
      <c r="E7" s="40"/>
      <c r="F7" s="40"/>
      <c r="G7" s="40"/>
      <c r="H7" s="35"/>
      <c r="I7" s="35"/>
      <c r="J7" s="35"/>
    </row>
    <row r="8" spans="1:10" ht="18.75" customHeight="1" x14ac:dyDescent="0.25">
      <c r="A8" s="35"/>
      <c r="B8" s="41" t="s">
        <v>3</v>
      </c>
      <c r="C8" s="12"/>
      <c r="D8" s="42" t="s">
        <v>4</v>
      </c>
      <c r="E8" s="13"/>
      <c r="F8" s="41" t="s">
        <v>5</v>
      </c>
      <c r="G8" s="43">
        <v>45047</v>
      </c>
      <c r="H8" s="44"/>
      <c r="I8" s="35"/>
      <c r="J8" s="35"/>
    </row>
    <row r="9" spans="1:10" ht="18.75" customHeight="1" x14ac:dyDescent="0.25">
      <c r="A9" s="35"/>
      <c r="B9" s="41" t="s">
        <v>6</v>
      </c>
      <c r="C9" s="12"/>
      <c r="D9" s="25" t="s">
        <v>89</v>
      </c>
      <c r="E9" s="13"/>
      <c r="F9" s="41" t="s">
        <v>7</v>
      </c>
      <c r="G9" s="43">
        <f>IFERROR(IF(G10="","",IF(DAY(G8)=1,EOMONTH(G8,G10-1),EOMONTH(G8,G10))),"n/a")</f>
        <v>45412</v>
      </c>
      <c r="H9" s="35"/>
      <c r="I9" s="35"/>
      <c r="J9" s="44"/>
    </row>
    <row r="10" spans="1:10" ht="18.75" customHeight="1" x14ac:dyDescent="0.25">
      <c r="A10" s="35"/>
      <c r="B10" s="41"/>
      <c r="C10" s="12"/>
      <c r="D10" s="45" t="s">
        <v>90</v>
      </c>
      <c r="E10" s="13"/>
      <c r="F10" s="41" t="s">
        <v>8</v>
      </c>
      <c r="G10" s="64">
        <v>12</v>
      </c>
      <c r="H10" s="35"/>
      <c r="I10" s="35"/>
      <c r="J10" s="35"/>
    </row>
    <row r="11" spans="1:10" ht="18.75" customHeight="1" x14ac:dyDescent="0.25">
      <c r="A11" s="35"/>
      <c r="B11" s="14"/>
      <c r="C11" s="14"/>
      <c r="D11" s="45" t="s">
        <v>91</v>
      </c>
      <c r="E11" s="14"/>
      <c r="F11" s="14"/>
      <c r="G11" s="15"/>
      <c r="H11" s="35"/>
      <c r="I11" s="35"/>
      <c r="J11" s="35"/>
    </row>
    <row r="12" spans="1:10" ht="24.75" customHeight="1" x14ac:dyDescent="0.2">
      <c r="A12" s="35"/>
      <c r="B12" s="11" t="s">
        <v>9</v>
      </c>
      <c r="C12" s="39"/>
      <c r="D12" s="35"/>
      <c r="E12" s="35"/>
      <c r="F12" s="35"/>
      <c r="G12" s="35"/>
      <c r="H12" s="35"/>
      <c r="I12" s="35"/>
      <c r="J12" s="35"/>
    </row>
    <row r="13" spans="1:10" ht="4.5" customHeight="1" x14ac:dyDescent="0.2">
      <c r="A13" s="35"/>
      <c r="B13" s="40"/>
      <c r="C13" s="40"/>
      <c r="D13" s="40"/>
      <c r="E13" s="40"/>
      <c r="F13" s="40"/>
      <c r="G13" s="40"/>
      <c r="H13" s="35"/>
      <c r="I13" s="35"/>
      <c r="J13" s="35"/>
    </row>
    <row r="14" spans="1:10" ht="6" customHeight="1" x14ac:dyDescent="0.2">
      <c r="A14" s="35"/>
      <c r="B14" s="35"/>
      <c r="C14" s="35"/>
      <c r="D14" s="35"/>
      <c r="E14" s="35"/>
      <c r="F14" s="35"/>
      <c r="G14" s="35"/>
      <c r="H14" s="35"/>
      <c r="I14" s="35"/>
      <c r="J14" s="35"/>
    </row>
    <row r="15" spans="1:10" ht="17.25" x14ac:dyDescent="0.35">
      <c r="A15" s="35"/>
      <c r="B15" s="35"/>
      <c r="C15" s="16" t="s">
        <v>10</v>
      </c>
      <c r="D15" s="35"/>
      <c r="E15" s="35"/>
      <c r="F15" s="16" t="s">
        <v>11</v>
      </c>
      <c r="G15" s="35"/>
      <c r="H15" s="35"/>
      <c r="I15" s="35"/>
      <c r="J15" s="35"/>
    </row>
    <row r="16" spans="1:10" ht="2.65" customHeight="1" x14ac:dyDescent="0.2">
      <c r="A16" s="35"/>
      <c r="B16" s="35"/>
      <c r="C16" s="46"/>
      <c r="D16" s="46"/>
      <c r="E16" s="35"/>
      <c r="F16" s="46"/>
      <c r="G16" s="46"/>
      <c r="H16" s="35"/>
      <c r="I16" s="35"/>
      <c r="J16" s="35"/>
    </row>
    <row r="17" spans="2:15" ht="18.75" customHeight="1" x14ac:dyDescent="0.2">
      <c r="B17" s="35"/>
      <c r="C17" s="41" t="s">
        <v>12</v>
      </c>
      <c r="D17" s="47">
        <v>199</v>
      </c>
      <c r="E17" s="35"/>
      <c r="F17" s="30" t="s">
        <v>13</v>
      </c>
      <c r="G17" s="48">
        <v>2699</v>
      </c>
      <c r="H17" s="35"/>
      <c r="I17" s="35"/>
      <c r="J17" s="49"/>
      <c r="K17" s="35"/>
      <c r="L17" s="35"/>
      <c r="M17" s="35"/>
      <c r="N17" s="35"/>
      <c r="O17" s="35"/>
    </row>
    <row r="18" spans="2:15" ht="17.45" customHeight="1" x14ac:dyDescent="0.2">
      <c r="B18" s="35"/>
      <c r="C18" s="41" t="s">
        <v>14</v>
      </c>
      <c r="D18" s="50">
        <v>39</v>
      </c>
      <c r="E18" s="35"/>
      <c r="F18" s="30" t="s">
        <v>15</v>
      </c>
      <c r="G18" s="48">
        <v>109</v>
      </c>
      <c r="H18" s="35"/>
      <c r="I18" s="35"/>
      <c r="J18" s="49"/>
      <c r="K18" s="35"/>
      <c r="L18" s="35"/>
      <c r="M18" s="35"/>
      <c r="N18" s="35"/>
      <c r="O18" s="35"/>
    </row>
    <row r="19" spans="2:15" ht="27.95" customHeight="1" x14ac:dyDescent="0.2">
      <c r="B19" s="35"/>
      <c r="C19" s="41"/>
      <c r="D19" s="41"/>
      <c r="E19" s="35"/>
      <c r="F19" s="29" t="s">
        <v>16</v>
      </c>
      <c r="G19" s="51"/>
      <c r="H19" s="35"/>
      <c r="I19" s="35"/>
      <c r="J19" s="49"/>
      <c r="K19" s="35"/>
      <c r="L19" s="35"/>
      <c r="M19" s="35"/>
      <c r="N19" s="35"/>
      <c r="O19" s="35"/>
    </row>
    <row r="20" spans="2:15" ht="18.75" customHeight="1" x14ac:dyDescent="0.35">
      <c r="B20" s="35"/>
      <c r="C20" s="16" t="s">
        <v>17</v>
      </c>
      <c r="D20" s="35"/>
      <c r="E20" s="35"/>
      <c r="F20" s="30" t="s">
        <v>18</v>
      </c>
      <c r="G20" s="51">
        <v>50</v>
      </c>
      <c r="H20" s="35"/>
      <c r="I20"/>
      <c r="J20" s="49"/>
      <c r="K20" s="35"/>
      <c r="L20" s="35"/>
      <c r="M20" s="35"/>
      <c r="N20" s="35"/>
      <c r="O20" s="35"/>
    </row>
    <row r="21" spans="2:15" ht="2.65" customHeight="1" x14ac:dyDescent="0.2">
      <c r="B21" s="35"/>
      <c r="C21" s="46"/>
      <c r="D21" s="46"/>
      <c r="E21" s="35"/>
      <c r="F21" s="36"/>
      <c r="G21" s="35"/>
      <c r="H21" s="35"/>
      <c r="I21" s="35"/>
      <c r="J21" s="49"/>
      <c r="K21" s="35"/>
      <c r="L21" s="35"/>
      <c r="M21" s="35"/>
      <c r="N21" s="35"/>
      <c r="O21" s="35"/>
    </row>
    <row r="22" spans="2:15" ht="14.25" customHeight="1" x14ac:dyDescent="0.2">
      <c r="B22" s="35"/>
      <c r="C22" s="30" t="s">
        <v>19</v>
      </c>
      <c r="D22" s="52">
        <v>200</v>
      </c>
      <c r="E22" s="35"/>
      <c r="F22" s="30" t="s">
        <v>20</v>
      </c>
      <c r="G22" s="53">
        <v>0</v>
      </c>
      <c r="H22" s="35"/>
      <c r="I22" s="35"/>
      <c r="J22" s="49"/>
      <c r="K22" s="35"/>
      <c r="L22" s="54"/>
      <c r="M22" s="35"/>
      <c r="N22" s="35"/>
      <c r="O22" s="35"/>
    </row>
    <row r="23" spans="2:15" ht="18.75" customHeight="1" x14ac:dyDescent="0.2">
      <c r="B23" s="35"/>
      <c r="C23" s="30" t="s">
        <v>21</v>
      </c>
      <c r="D23" s="50">
        <v>200</v>
      </c>
      <c r="E23" s="35"/>
      <c r="F23" s="30" t="s">
        <v>22</v>
      </c>
      <c r="G23" s="55">
        <v>29</v>
      </c>
      <c r="H23" s="35"/>
      <c r="I23"/>
      <c r="J23" s="49"/>
      <c r="K23" s="35"/>
      <c r="L23" s="35"/>
      <c r="M23" s="35"/>
      <c r="N23" s="35"/>
      <c r="O23" s="35"/>
    </row>
    <row r="24" spans="2:15" ht="15" customHeight="1" x14ac:dyDescent="0.2">
      <c r="B24" s="35"/>
      <c r="C24" s="30" t="s">
        <v>23</v>
      </c>
      <c r="D24" s="50">
        <v>200</v>
      </c>
      <c r="E24" s="35"/>
      <c r="F24" s="30" t="s">
        <v>24</v>
      </c>
      <c r="G24" s="55">
        <v>39</v>
      </c>
      <c r="H24" s="35"/>
      <c r="I24" s="35"/>
      <c r="J24" s="49"/>
      <c r="K24" s="35"/>
      <c r="L24" s="35"/>
      <c r="M24" s="35"/>
      <c r="N24" s="35"/>
      <c r="O24" s="35"/>
    </row>
    <row r="25" spans="2:15" ht="21" customHeight="1" x14ac:dyDescent="0.2">
      <c r="B25" s="35"/>
      <c r="C25" s="56" t="s">
        <v>25</v>
      </c>
      <c r="D25" s="52">
        <v>0</v>
      </c>
      <c r="E25" s="35"/>
      <c r="F25" s="56" t="s">
        <v>26</v>
      </c>
      <c r="G25" s="55">
        <v>0</v>
      </c>
      <c r="H25" s="35"/>
      <c r="I25" s="35"/>
      <c r="J25" s="49"/>
      <c r="K25" s="35"/>
      <c r="L25" s="35"/>
      <c r="M25" s="35"/>
      <c r="N25" s="35"/>
      <c r="O25" s="35"/>
    </row>
    <row r="26" spans="2:15" ht="23.1" customHeight="1" x14ac:dyDescent="0.2">
      <c r="B26" s="35"/>
      <c r="C26" s="56" t="str">
        <f>"Rent from "&amp;TEXT(G8,"MM/DD")&amp;" - "&amp;TEXT(EOMONTH(G8,0),"MM/DD")</f>
        <v>Rent from 05/01 - 05/31</v>
      </c>
      <c r="D26" s="50">
        <v>2926</v>
      </c>
      <c r="E26" s="35"/>
      <c r="F26" s="28" t="s">
        <v>27</v>
      </c>
      <c r="G26" s="55">
        <v>0</v>
      </c>
      <c r="H26" s="35"/>
      <c r="I26" s="35"/>
      <c r="J26" s="49"/>
      <c r="K26" s="35"/>
      <c r="L26" s="35"/>
      <c r="M26" s="35"/>
      <c r="N26" s="35"/>
      <c r="O26" s="35"/>
    </row>
    <row r="27" spans="2:15" ht="18.75" customHeight="1" thickBot="1" x14ac:dyDescent="0.25">
      <c r="B27" s="35"/>
      <c r="C27" s="17" t="s">
        <v>28</v>
      </c>
      <c r="D27" s="18">
        <f>SUM(D22:D26)</f>
        <v>3526</v>
      </c>
      <c r="E27" s="35"/>
      <c r="F27" s="17" t="s">
        <v>29</v>
      </c>
      <c r="G27" s="19">
        <f>SUM(G17:G26)</f>
        <v>2926</v>
      </c>
      <c r="H27" s="35"/>
      <c r="I27" s="35"/>
      <c r="J27" s="49"/>
      <c r="K27" s="35"/>
      <c r="L27" s="35"/>
      <c r="M27" s="35"/>
      <c r="N27" s="35"/>
      <c r="O27" s="35"/>
    </row>
    <row r="28" spans="2:15" ht="18.75" hidden="1" customHeight="1" x14ac:dyDescent="0.2">
      <c r="B28" s="35"/>
      <c r="C28" s="35"/>
      <c r="D28" s="57"/>
      <c r="E28" s="35"/>
      <c r="F28" s="66" t="s">
        <v>30</v>
      </c>
      <c r="G28" s="66"/>
      <c r="H28" s="35"/>
      <c r="I28" s="35"/>
      <c r="J28" s="35"/>
      <c r="K28" s="35"/>
      <c r="L28" s="35"/>
      <c r="M28" s="35"/>
      <c r="N28" s="35"/>
      <c r="O28" s="35"/>
    </row>
    <row r="29" spans="2:15" ht="24.75" customHeight="1" x14ac:dyDescent="0.2">
      <c r="B29" s="35"/>
      <c r="C29" s="35"/>
      <c r="D29" s="35"/>
      <c r="E29" s="35"/>
      <c r="F29" s="67"/>
      <c r="G29" s="67"/>
      <c r="H29" s="57"/>
      <c r="I29" s="57"/>
      <c r="J29" s="35"/>
      <c r="K29" s="35"/>
      <c r="L29" s="35"/>
      <c r="M29" s="35"/>
      <c r="N29" s="35"/>
      <c r="O29" s="35"/>
    </row>
    <row r="30" spans="2:15" ht="18" hidden="1" customHeight="1" x14ac:dyDescent="0.2">
      <c r="B30" s="35"/>
      <c r="C30" s="35"/>
      <c r="D30" s="35"/>
      <c r="E30" s="35"/>
      <c r="F30" s="58"/>
      <c r="G30" s="58"/>
      <c r="H30" s="35"/>
      <c r="I30" s="35"/>
      <c r="J30" s="35"/>
      <c r="K30" s="35"/>
      <c r="L30" s="35"/>
      <c r="M30" s="35"/>
      <c r="N30" s="35"/>
      <c r="O30" s="59"/>
    </row>
    <row r="31" spans="2:15" ht="23.25" customHeight="1" x14ac:dyDescent="0.2">
      <c r="B31" s="11" t="s">
        <v>31</v>
      </c>
      <c r="C31" s="39"/>
      <c r="D31" s="35"/>
      <c r="E31" s="35"/>
      <c r="F31" s="35"/>
      <c r="G31" s="35"/>
      <c r="H31" s="35"/>
      <c r="I31" s="35"/>
      <c r="J31" s="35"/>
      <c r="K31" s="35"/>
      <c r="L31" s="35"/>
      <c r="M31" s="35"/>
      <c r="N31" s="35"/>
      <c r="O31" s="35"/>
    </row>
    <row r="32" spans="2:15" ht="4.5" customHeight="1" x14ac:dyDescent="0.2">
      <c r="B32" s="40"/>
      <c r="C32" s="40"/>
      <c r="D32" s="40"/>
      <c r="E32" s="40"/>
      <c r="F32" s="40"/>
      <c r="G32" s="40"/>
      <c r="H32" s="35"/>
      <c r="I32" s="35"/>
      <c r="J32" s="35"/>
      <c r="K32" s="35"/>
      <c r="L32" s="35"/>
      <c r="M32" s="35"/>
      <c r="N32" s="35"/>
      <c r="O32" s="35"/>
    </row>
    <row r="33" spans="2:7" s="27" customFormat="1" ht="30.6" customHeight="1" x14ac:dyDescent="0.2">
      <c r="B33" s="72" t="s">
        <v>32</v>
      </c>
      <c r="C33" s="72"/>
      <c r="D33" s="72"/>
      <c r="E33" s="72"/>
      <c r="F33" s="72"/>
      <c r="G33" s="72"/>
    </row>
    <row r="34" spans="2:7" ht="13.5" customHeight="1" x14ac:dyDescent="0.2">
      <c r="B34" s="72"/>
      <c r="C34" s="72"/>
      <c r="D34" s="72"/>
      <c r="E34" s="72"/>
      <c r="F34" s="72"/>
      <c r="G34" s="72"/>
    </row>
    <row r="35" spans="2:7" ht="24.95" hidden="1" customHeight="1" x14ac:dyDescent="0.2">
      <c r="B35" s="23" t="s">
        <v>33</v>
      </c>
      <c r="C35" s="32" t="s">
        <v>34</v>
      </c>
      <c r="D35" s="32" t="s">
        <v>35</v>
      </c>
      <c r="E35" s="32" t="s">
        <v>36</v>
      </c>
      <c r="F35" s="32"/>
      <c r="G35" s="32"/>
    </row>
    <row r="36" spans="2:7" s="6" customFormat="1" ht="29.1" hidden="1" customHeight="1" x14ac:dyDescent="0.2">
      <c r="B36" s="23" t="s">
        <v>33</v>
      </c>
      <c r="C36" s="24" t="s">
        <v>37</v>
      </c>
      <c r="D36" s="24" t="s">
        <v>38</v>
      </c>
      <c r="E36" s="24" t="s">
        <v>39</v>
      </c>
      <c r="F36" s="60"/>
      <c r="G36" s="24"/>
    </row>
    <row r="37" spans="2:7" s="6" customFormat="1" ht="31.5" hidden="1" customHeight="1" x14ac:dyDescent="0.2">
      <c r="B37" s="23" t="s">
        <v>33</v>
      </c>
      <c r="C37" s="24" t="s">
        <v>40</v>
      </c>
      <c r="D37" s="24" t="s">
        <v>41</v>
      </c>
      <c r="E37" s="24" t="s">
        <v>39</v>
      </c>
      <c r="F37" s="60"/>
      <c r="G37" s="24"/>
    </row>
    <row r="38" spans="2:7" s="6" customFormat="1" ht="24.75" hidden="1" customHeight="1" x14ac:dyDescent="0.2">
      <c r="B38" s="23" t="s">
        <v>33</v>
      </c>
      <c r="C38" s="24" t="s">
        <v>42</v>
      </c>
      <c r="D38" s="24" t="s">
        <v>43</v>
      </c>
      <c r="E38" s="24"/>
      <c r="F38" s="24"/>
      <c r="G38" s="24"/>
    </row>
    <row r="39" spans="2:7" s="6" customFormat="1" ht="24.75" hidden="1" customHeight="1" x14ac:dyDescent="0.2">
      <c r="B39" s="23" t="s">
        <v>33</v>
      </c>
      <c r="C39" s="24" t="s">
        <v>44</v>
      </c>
      <c r="D39" s="24" t="s">
        <v>45</v>
      </c>
      <c r="E39" s="24" t="s">
        <v>39</v>
      </c>
      <c r="F39" s="60"/>
      <c r="G39" s="24"/>
    </row>
    <row r="40" spans="2:7" s="6" customFormat="1" ht="25.5" x14ac:dyDescent="0.2">
      <c r="B40" s="23" t="s">
        <v>33</v>
      </c>
      <c r="C40" s="24" t="s">
        <v>86</v>
      </c>
      <c r="D40" s="24" t="s">
        <v>87</v>
      </c>
      <c r="E40" s="20" t="s">
        <v>46</v>
      </c>
      <c r="F40" s="35"/>
      <c r="G40" s="24"/>
    </row>
    <row r="41" spans="2:7" s="6" customFormat="1" ht="29.25" customHeight="1" x14ac:dyDescent="0.2">
      <c r="B41" s="26" t="s">
        <v>33</v>
      </c>
      <c r="C41" s="71" t="s">
        <v>88</v>
      </c>
      <c r="D41" s="71"/>
      <c r="E41" s="71"/>
      <c r="F41" s="71"/>
      <c r="G41" s="71"/>
    </row>
    <row r="42" spans="2:7" s="6" customFormat="1" ht="21.75" customHeight="1" x14ac:dyDescent="0.2">
      <c r="B42" s="23" t="s">
        <v>33</v>
      </c>
      <c r="C42" s="68" t="s">
        <v>85</v>
      </c>
      <c r="D42" s="68"/>
      <c r="E42" s="68"/>
      <c r="F42" s="68"/>
      <c r="G42" s="68"/>
    </row>
    <row r="43" spans="2:7" s="31" customFormat="1" ht="18.75" customHeight="1" x14ac:dyDescent="0.2">
      <c r="B43" s="61" t="s">
        <v>33</v>
      </c>
      <c r="C43" s="69" t="s">
        <v>47</v>
      </c>
      <c r="D43" s="69"/>
      <c r="E43" s="69"/>
      <c r="F43" s="69"/>
      <c r="G43" s="69"/>
    </row>
    <row r="44" spans="2:7" s="6" customFormat="1" ht="18.75" customHeight="1" x14ac:dyDescent="0.2">
      <c r="B44" s="23" t="s">
        <v>33</v>
      </c>
      <c r="C44" s="32" t="s">
        <v>48</v>
      </c>
      <c r="D44" s="24"/>
      <c r="E44" s="24"/>
      <c r="F44" s="24"/>
      <c r="G44" s="24"/>
    </row>
    <row r="45" spans="2:7" ht="25.5" hidden="1" customHeight="1" x14ac:dyDescent="0.2">
      <c r="B45" s="23" t="s">
        <v>33</v>
      </c>
      <c r="C45" s="68" t="s">
        <v>49</v>
      </c>
      <c r="D45" s="68"/>
      <c r="E45" s="68"/>
      <c r="F45" s="68"/>
      <c r="G45" s="68"/>
    </row>
    <row r="46" spans="2:7" ht="23.45" hidden="1" customHeight="1" outlineLevel="1" x14ac:dyDescent="0.2">
      <c r="B46" s="23" t="s">
        <v>33</v>
      </c>
      <c r="C46" s="33" t="s">
        <v>50</v>
      </c>
      <c r="D46" s="34"/>
      <c r="E46" s="34"/>
      <c r="F46" s="34"/>
      <c r="G46" s="34"/>
    </row>
    <row r="47" spans="2:7" ht="21" customHeight="1" collapsed="1" x14ac:dyDescent="0.2">
      <c r="B47" s="11" t="s">
        <v>51</v>
      </c>
      <c r="C47" s="39"/>
      <c r="D47" s="35"/>
      <c r="E47" s="35"/>
      <c r="F47" s="35"/>
      <c r="G47" s="35"/>
    </row>
    <row r="48" spans="2:7" ht="4.5" customHeight="1" x14ac:dyDescent="0.2">
      <c r="B48" s="40"/>
      <c r="C48" s="40"/>
      <c r="D48" s="40"/>
      <c r="E48" s="40"/>
      <c r="F48" s="40"/>
      <c r="G48" s="40"/>
    </row>
    <row r="49" spans="2:7" ht="4.5" customHeight="1" x14ac:dyDescent="0.2">
      <c r="B49" s="35"/>
      <c r="C49" s="35"/>
      <c r="D49" s="35"/>
      <c r="E49" s="35"/>
      <c r="F49" s="35"/>
      <c r="G49" s="35"/>
    </row>
    <row r="50" spans="2:7" ht="14.25" customHeight="1" x14ac:dyDescent="0.2">
      <c r="B50" s="70" t="s">
        <v>52</v>
      </c>
      <c r="C50" s="70"/>
      <c r="D50" s="70"/>
      <c r="E50" s="70"/>
      <c r="F50" s="70"/>
      <c r="G50" s="70"/>
    </row>
    <row r="51" spans="2:7" ht="14.25" customHeight="1" x14ac:dyDescent="0.2">
      <c r="B51" s="70"/>
      <c r="C51" s="70"/>
      <c r="D51" s="70"/>
      <c r="E51" s="70"/>
      <c r="F51" s="70"/>
      <c r="G51" s="70"/>
    </row>
    <row r="52" spans="2:7" ht="14.25" customHeight="1" x14ac:dyDescent="0.2">
      <c r="B52" s="70"/>
      <c r="C52" s="70"/>
      <c r="D52" s="70"/>
      <c r="E52" s="70"/>
      <c r="F52" s="70"/>
      <c r="G52" s="70"/>
    </row>
    <row r="53" spans="2:7" ht="14.25" customHeight="1" x14ac:dyDescent="0.2">
      <c r="B53" s="70"/>
      <c r="C53" s="70"/>
      <c r="D53" s="70"/>
      <c r="E53" s="70"/>
      <c r="F53" s="70"/>
      <c r="G53" s="70"/>
    </row>
    <row r="54" spans="2:7" ht="21" customHeight="1" x14ac:dyDescent="0.2">
      <c r="B54" s="70"/>
      <c r="C54" s="70"/>
      <c r="D54" s="70"/>
      <c r="E54" s="70"/>
      <c r="F54" s="70"/>
      <c r="G54" s="70"/>
    </row>
    <row r="55" spans="2:7" ht="42" customHeight="1" x14ac:dyDescent="0.2">
      <c r="B55" s="62"/>
      <c r="C55" s="62"/>
      <c r="D55" s="62"/>
      <c r="E55" s="62"/>
      <c r="F55" s="35"/>
      <c r="G55" s="62"/>
    </row>
    <row r="56" spans="2:7" ht="15" customHeight="1" x14ac:dyDescent="0.2">
      <c r="B56" s="21" t="s">
        <v>53</v>
      </c>
      <c r="C56" s="21"/>
      <c r="D56" s="35"/>
      <c r="E56" s="35"/>
      <c r="F56" s="35"/>
      <c r="G56" s="21" t="s">
        <v>54</v>
      </c>
    </row>
    <row r="57" spans="2:7" ht="22.5" customHeight="1" x14ac:dyDescent="0.2">
      <c r="B57" s="21"/>
      <c r="C57" s="21"/>
      <c r="D57" s="35"/>
      <c r="E57" s="35"/>
      <c r="F57" s="35"/>
      <c r="G57" s="21"/>
    </row>
    <row r="58" spans="2:7" ht="27.75" customHeight="1" x14ac:dyDescent="0.2">
      <c r="B58" s="62"/>
      <c r="C58" s="62"/>
      <c r="D58" s="62"/>
      <c r="E58" s="62"/>
      <c r="F58" s="35"/>
      <c r="G58" s="62"/>
    </row>
    <row r="59" spans="2:7" ht="15" customHeight="1" x14ac:dyDescent="0.2">
      <c r="B59" s="21" t="s">
        <v>53</v>
      </c>
      <c r="C59" s="21"/>
      <c r="D59" s="35"/>
      <c r="E59" s="35"/>
      <c r="F59" s="35"/>
      <c r="G59" s="21" t="s">
        <v>54</v>
      </c>
    </row>
    <row r="60" spans="2:7" ht="22.5" customHeight="1" x14ac:dyDescent="0.2">
      <c r="B60" s="21"/>
      <c r="C60" s="21"/>
      <c r="D60" s="35"/>
      <c r="E60" s="35"/>
      <c r="F60" s="35"/>
      <c r="G60" s="21"/>
    </row>
    <row r="61" spans="2:7" ht="26.25" customHeight="1" x14ac:dyDescent="0.2">
      <c r="B61" s="62"/>
      <c r="C61" s="62"/>
      <c r="D61" s="62"/>
      <c r="E61" s="62"/>
      <c r="F61" s="35"/>
      <c r="G61" s="62"/>
    </row>
    <row r="62" spans="2:7" ht="15" customHeight="1" x14ac:dyDescent="0.2">
      <c r="B62" s="21" t="s">
        <v>92</v>
      </c>
      <c r="C62" s="21"/>
      <c r="D62" s="35"/>
      <c r="E62" s="35"/>
      <c r="F62" s="35"/>
      <c r="G62" s="21" t="s">
        <v>54</v>
      </c>
    </row>
    <row r="63" spans="2:7" x14ac:dyDescent="0.2">
      <c r="B63" s="35"/>
      <c r="C63" s="35"/>
      <c r="D63" s="35"/>
      <c r="E63" s="35"/>
      <c r="F63" s="35"/>
      <c r="G63" s="35"/>
    </row>
    <row r="64" spans="2:7" ht="15" customHeight="1" x14ac:dyDescent="0.2">
      <c r="B64" s="65" t="s">
        <v>55</v>
      </c>
      <c r="C64" s="65"/>
      <c r="D64" s="65"/>
      <c r="E64" s="65"/>
      <c r="F64" s="65"/>
      <c r="G64" s="22"/>
    </row>
    <row r="65" spans="2:7" x14ac:dyDescent="0.2">
      <c r="B65" s="65"/>
      <c r="C65" s="65"/>
      <c r="D65" s="65"/>
      <c r="E65" s="65"/>
      <c r="F65" s="65"/>
      <c r="G65" s="22"/>
    </row>
    <row r="66" spans="2:7" x14ac:dyDescent="0.2">
      <c r="B66" s="22"/>
      <c r="C66" s="22"/>
      <c r="D66" s="22"/>
      <c r="E66" s="22"/>
      <c r="F66" s="22"/>
      <c r="G66" s="22"/>
    </row>
    <row r="67" spans="2:7" x14ac:dyDescent="0.2">
      <c r="B67" s="22"/>
      <c r="C67" s="22"/>
      <c r="D67" s="22"/>
      <c r="E67" s="22"/>
      <c r="F67" s="22"/>
      <c r="G67" s="22"/>
    </row>
    <row r="68" spans="2:7" x14ac:dyDescent="0.2">
      <c r="B68" s="22"/>
      <c r="C68" s="22"/>
      <c r="D68" s="22"/>
      <c r="E68" s="22"/>
      <c r="F68" s="22"/>
      <c r="G68" s="22"/>
    </row>
  </sheetData>
  <sheetProtection algorithmName="SHA-512" hashValue="q3GU/RXp2B54B+uaKHwvwIRxVlBtE8DPgwbdNpRs29OC65BxdjIluCiYUPjEyk5JrKKcrS6INF6NnlOoa66HVg==" saltValue="sanv/vyXj0yFycISJi91bQ==" spinCount="100000" sheet="1" objects="1" scenarios="1" selectLockedCells="1"/>
  <mergeCells count="8">
    <mergeCell ref="B64:F65"/>
    <mergeCell ref="F28:G29"/>
    <mergeCell ref="C42:G42"/>
    <mergeCell ref="C43:G43"/>
    <mergeCell ref="B50:G54"/>
    <mergeCell ref="C41:G41"/>
    <mergeCell ref="C45:G45"/>
    <mergeCell ref="B33:G34"/>
  </mergeCells>
  <conditionalFormatting sqref="B33">
    <cfRule type="expression" dxfId="0" priority="2">
      <formula>B33=""</formula>
    </cfRule>
  </conditionalFormatting>
  <printOptions horizontalCentered="1"/>
  <pageMargins left="0.25" right="0.25" top="0.5" bottom="0.25" header="0.3" footer="0"/>
  <pageSetup scale="7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tton1_Click">
                <anchor moveWithCells="1" sizeWithCells="1">
                  <from>
                    <xdr:col>8</xdr:col>
                    <xdr:colOff>266700</xdr:colOff>
                    <xdr:row>8</xdr:row>
                    <xdr:rowOff>19050</xdr:rowOff>
                  </from>
                  <to>
                    <xdr:col>11</xdr:col>
                    <xdr:colOff>209550</xdr:colOff>
                    <xdr:row>11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C3:D26"/>
  <sheetViews>
    <sheetView workbookViewId="0">
      <selection activeCell="D11" sqref="D11"/>
    </sheetView>
  </sheetViews>
  <sheetFormatPr defaultRowHeight="12.75" x14ac:dyDescent="0.2"/>
  <cols>
    <col min="4" max="4" width="9.42578125" bestFit="1" customWidth="1"/>
  </cols>
  <sheetData>
    <row r="3" spans="3:4" x14ac:dyDescent="0.2">
      <c r="C3" t="s">
        <v>56</v>
      </c>
      <c r="D3" t="s">
        <v>4</v>
      </c>
    </row>
    <row r="4" spans="3:4" x14ac:dyDescent="0.2">
      <c r="C4" t="s">
        <v>57</v>
      </c>
      <c r="D4" t="s">
        <v>93</v>
      </c>
    </row>
    <row r="5" spans="3:4" x14ac:dyDescent="0.2">
      <c r="C5" t="s">
        <v>58</v>
      </c>
      <c r="D5" s="1">
        <v>45047</v>
      </c>
    </row>
    <row r="6" spans="3:4" x14ac:dyDescent="0.2">
      <c r="C6" t="s">
        <v>59</v>
      </c>
      <c r="D6">
        <v>199</v>
      </c>
    </row>
    <row r="7" spans="3:4" x14ac:dyDescent="0.2">
      <c r="C7" t="s">
        <v>60</v>
      </c>
      <c r="D7">
        <v>39</v>
      </c>
    </row>
    <row r="8" spans="3:4" x14ac:dyDescent="0.2">
      <c r="C8" t="s">
        <v>61</v>
      </c>
      <c r="D8">
        <v>200</v>
      </c>
    </row>
    <row r="9" spans="3:4" x14ac:dyDescent="0.2">
      <c r="C9" t="s">
        <v>62</v>
      </c>
      <c r="D9">
        <v>200</v>
      </c>
    </row>
    <row r="10" spans="3:4" x14ac:dyDescent="0.2">
      <c r="C10" t="s">
        <v>63</v>
      </c>
      <c r="D10">
        <v>0</v>
      </c>
    </row>
    <row r="11" spans="3:4" x14ac:dyDescent="0.2">
      <c r="C11" t="s">
        <v>64</v>
      </c>
      <c r="D11" s="63">
        <v>2699</v>
      </c>
    </row>
    <row r="12" spans="3:4" x14ac:dyDescent="0.2">
      <c r="C12" t="s">
        <v>65</v>
      </c>
      <c r="D12">
        <v>109</v>
      </c>
    </row>
    <row r="13" spans="3:4" x14ac:dyDescent="0.2">
      <c r="C13" t="s">
        <v>66</v>
      </c>
    </row>
    <row r="14" spans="3:4" x14ac:dyDescent="0.2">
      <c r="C14" t="s">
        <v>67</v>
      </c>
      <c r="D14">
        <v>50</v>
      </c>
    </row>
    <row r="15" spans="3:4" x14ac:dyDescent="0.2">
      <c r="C15" t="s">
        <v>22</v>
      </c>
      <c r="D15">
        <v>29</v>
      </c>
    </row>
    <row r="16" spans="3:4" x14ac:dyDescent="0.2">
      <c r="C16" t="s">
        <v>68</v>
      </c>
      <c r="D16">
        <v>39</v>
      </c>
    </row>
    <row r="17" spans="3:4" x14ac:dyDescent="0.2">
      <c r="C17" t="s">
        <v>69</v>
      </c>
      <c r="D17" t="s">
        <v>94</v>
      </c>
    </row>
    <row r="18" spans="3:4" x14ac:dyDescent="0.2">
      <c r="C18" t="s">
        <v>70</v>
      </c>
      <c r="D18" t="s">
        <v>84</v>
      </c>
    </row>
    <row r="19" spans="3:4" x14ac:dyDescent="0.2">
      <c r="C19" t="s">
        <v>71</v>
      </c>
      <c r="D19">
        <v>200</v>
      </c>
    </row>
    <row r="20" spans="3:4" x14ac:dyDescent="0.2">
      <c r="C20" t="s">
        <v>72</v>
      </c>
      <c r="D20">
        <v>12</v>
      </c>
    </row>
    <row r="21" spans="3:4" x14ac:dyDescent="0.2">
      <c r="C21" t="s">
        <v>73</v>
      </c>
      <c r="D21" t="s">
        <v>89</v>
      </c>
    </row>
    <row r="22" spans="3:4" x14ac:dyDescent="0.2">
      <c r="C22" t="s">
        <v>74</v>
      </c>
      <c r="D22">
        <v>3500</v>
      </c>
    </row>
    <row r="23" spans="3:4" x14ac:dyDescent="0.2">
      <c r="C23" t="s">
        <v>75</v>
      </c>
      <c r="D23" t="s">
        <v>76</v>
      </c>
    </row>
    <row r="24" spans="3:4" x14ac:dyDescent="0.2">
      <c r="C24" t="s">
        <v>77</v>
      </c>
      <c r="D24">
        <v>0</v>
      </c>
    </row>
    <row r="25" spans="3:4" x14ac:dyDescent="0.2">
      <c r="C25" t="s">
        <v>78</v>
      </c>
      <c r="D25">
        <v>0</v>
      </c>
    </row>
    <row r="26" spans="3:4" x14ac:dyDescent="0.2">
      <c r="C26" t="s">
        <v>20</v>
      </c>
      <c r="D26">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O38"/>
  <sheetViews>
    <sheetView workbookViewId="0">
      <selection activeCell="C3" sqref="C3"/>
    </sheetView>
  </sheetViews>
  <sheetFormatPr defaultRowHeight="12.75" x14ac:dyDescent="0.2"/>
  <cols>
    <col min="1" max="1" width="10.28515625" customWidth="1"/>
    <col min="2" max="2" width="12.7109375" customWidth="1"/>
    <col min="3" max="3" width="9.85546875" bestFit="1" customWidth="1"/>
    <col min="4" max="11" width="9.7109375" bestFit="1" customWidth="1"/>
    <col min="13" max="15" width="9.7109375" bestFit="1" customWidth="1"/>
  </cols>
  <sheetData>
    <row r="2" spans="2:15" x14ac:dyDescent="0.2">
      <c r="B2" t="s">
        <v>5</v>
      </c>
      <c r="C2" s="1">
        <f>'Move In Form'!$G$8</f>
        <v>45047</v>
      </c>
    </row>
    <row r="3" spans="2:15" x14ac:dyDescent="0.2">
      <c r="B3" t="s">
        <v>79</v>
      </c>
      <c r="C3" s="2">
        <v>0</v>
      </c>
    </row>
    <row r="4" spans="2:15" x14ac:dyDescent="0.2">
      <c r="B4" t="s">
        <v>80</v>
      </c>
      <c r="C4">
        <f>ROUNDUP(INDEX('Prorate Rent Schedule'!$D$8:$O$38,DAY('Move In Form'!$G$8),MONTH('Move In Form'!$G$8)),0)</f>
        <v>0</v>
      </c>
    </row>
    <row r="5" spans="2:15" x14ac:dyDescent="0.2">
      <c r="C5" t="s">
        <v>81</v>
      </c>
      <c r="D5">
        <f t="shared" ref="D5:O5" si="0">DAY(EOMONTH(DATE(YEAR($C$2),D7,1),0))-30</f>
        <v>1</v>
      </c>
      <c r="E5">
        <f t="shared" si="0"/>
        <v>-2</v>
      </c>
      <c r="F5">
        <f t="shared" si="0"/>
        <v>1</v>
      </c>
      <c r="G5">
        <f t="shared" si="0"/>
        <v>0</v>
      </c>
      <c r="H5">
        <f t="shared" si="0"/>
        <v>1</v>
      </c>
      <c r="I5">
        <f t="shared" si="0"/>
        <v>0</v>
      </c>
      <c r="J5">
        <f t="shared" si="0"/>
        <v>1</v>
      </c>
      <c r="K5">
        <f t="shared" si="0"/>
        <v>1</v>
      </c>
      <c r="L5">
        <f t="shared" si="0"/>
        <v>0</v>
      </c>
      <c r="M5">
        <f t="shared" si="0"/>
        <v>1</v>
      </c>
      <c r="N5">
        <f t="shared" si="0"/>
        <v>0</v>
      </c>
      <c r="O5">
        <f t="shared" si="0"/>
        <v>1</v>
      </c>
    </row>
    <row r="6" spans="2:15" x14ac:dyDescent="0.2">
      <c r="D6" t="s">
        <v>82</v>
      </c>
    </row>
    <row r="7" spans="2:15" x14ac:dyDescent="0.2">
      <c r="C7" t="s">
        <v>83</v>
      </c>
      <c r="D7">
        <v>1</v>
      </c>
      <c r="E7">
        <v>2</v>
      </c>
      <c r="F7">
        <v>3</v>
      </c>
      <c r="G7">
        <v>4</v>
      </c>
      <c r="H7">
        <v>5</v>
      </c>
      <c r="I7">
        <v>6</v>
      </c>
      <c r="J7">
        <v>7</v>
      </c>
      <c r="K7">
        <v>8</v>
      </c>
      <c r="L7">
        <v>9</v>
      </c>
      <c r="M7">
        <v>10</v>
      </c>
      <c r="N7">
        <v>11</v>
      </c>
      <c r="O7">
        <v>12</v>
      </c>
    </row>
    <row r="8" spans="2:15" x14ac:dyDescent="0.2">
      <c r="C8">
        <v>1</v>
      </c>
      <c r="D8" s="3">
        <f>$C$3</f>
        <v>0</v>
      </c>
      <c r="E8" s="3">
        <f t="shared" ref="E8:O8" si="1">$C$3</f>
        <v>0</v>
      </c>
      <c r="F8" s="3">
        <f t="shared" si="1"/>
        <v>0</v>
      </c>
      <c r="G8" s="3">
        <f t="shared" si="1"/>
        <v>0</v>
      </c>
      <c r="H8" s="3">
        <f t="shared" si="1"/>
        <v>0</v>
      </c>
      <c r="I8" s="3">
        <f t="shared" si="1"/>
        <v>0</v>
      </c>
      <c r="J8" s="3">
        <f t="shared" si="1"/>
        <v>0</v>
      </c>
      <c r="K8" s="3">
        <f t="shared" si="1"/>
        <v>0</v>
      </c>
      <c r="L8" s="3">
        <f t="shared" si="1"/>
        <v>0</v>
      </c>
      <c r="M8" s="3">
        <f t="shared" si="1"/>
        <v>0</v>
      </c>
      <c r="N8" s="3">
        <f t="shared" si="1"/>
        <v>0</v>
      </c>
      <c r="O8" s="3">
        <f t="shared" si="1"/>
        <v>0</v>
      </c>
    </row>
    <row r="9" spans="2:15" x14ac:dyDescent="0.2">
      <c r="C9">
        <v>2</v>
      </c>
      <c r="D9" s="3">
        <f t="shared" ref="D9:O9" si="2">D8+(D8/30*(D5-1))</f>
        <v>0</v>
      </c>
      <c r="E9" s="3">
        <f t="shared" si="2"/>
        <v>0</v>
      </c>
      <c r="F9" s="3">
        <f t="shared" si="2"/>
        <v>0</v>
      </c>
      <c r="G9" s="3">
        <f t="shared" si="2"/>
        <v>0</v>
      </c>
      <c r="H9" s="3">
        <f t="shared" si="2"/>
        <v>0</v>
      </c>
      <c r="I9" s="3">
        <f t="shared" si="2"/>
        <v>0</v>
      </c>
      <c r="J9" s="3">
        <f t="shared" si="2"/>
        <v>0</v>
      </c>
      <c r="K9" s="3">
        <f t="shared" si="2"/>
        <v>0</v>
      </c>
      <c r="L9" s="3">
        <f t="shared" si="2"/>
        <v>0</v>
      </c>
      <c r="M9" s="3">
        <f t="shared" si="2"/>
        <v>0</v>
      </c>
      <c r="N9" s="3">
        <f t="shared" si="2"/>
        <v>0</v>
      </c>
      <c r="O9" s="3">
        <f t="shared" si="2"/>
        <v>0</v>
      </c>
    </row>
    <row r="10" spans="2:15" x14ac:dyDescent="0.2">
      <c r="C10">
        <v>3</v>
      </c>
      <c r="D10" s="3">
        <f t="shared" ref="D10:D38" si="3">D9-$D$8/30</f>
        <v>0</v>
      </c>
      <c r="E10" s="3">
        <f t="shared" ref="E10:O25" si="4">E9-$D$8/30</f>
        <v>0</v>
      </c>
      <c r="F10" s="3">
        <f t="shared" si="4"/>
        <v>0</v>
      </c>
      <c r="G10" s="3">
        <f t="shared" si="4"/>
        <v>0</v>
      </c>
      <c r="H10" s="3">
        <f t="shared" si="4"/>
        <v>0</v>
      </c>
      <c r="I10" s="3">
        <f t="shared" si="4"/>
        <v>0</v>
      </c>
      <c r="J10" s="3">
        <f t="shared" si="4"/>
        <v>0</v>
      </c>
      <c r="K10" s="3">
        <f t="shared" si="4"/>
        <v>0</v>
      </c>
      <c r="L10" s="3">
        <f t="shared" si="4"/>
        <v>0</v>
      </c>
      <c r="M10" s="3">
        <f t="shared" si="4"/>
        <v>0</v>
      </c>
      <c r="N10" s="3">
        <f t="shared" si="4"/>
        <v>0</v>
      </c>
      <c r="O10" s="3">
        <f t="shared" si="4"/>
        <v>0</v>
      </c>
    </row>
    <row r="11" spans="2:15" x14ac:dyDescent="0.2">
      <c r="C11">
        <v>4</v>
      </c>
      <c r="D11" s="3">
        <f t="shared" si="3"/>
        <v>0</v>
      </c>
      <c r="E11" s="3">
        <f t="shared" si="4"/>
        <v>0</v>
      </c>
      <c r="F11" s="3">
        <f t="shared" si="4"/>
        <v>0</v>
      </c>
      <c r="G11" s="3">
        <f t="shared" si="4"/>
        <v>0</v>
      </c>
      <c r="H11" s="3">
        <f t="shared" si="4"/>
        <v>0</v>
      </c>
      <c r="I11" s="3">
        <f t="shared" si="4"/>
        <v>0</v>
      </c>
      <c r="J11" s="3">
        <f t="shared" si="4"/>
        <v>0</v>
      </c>
      <c r="K11" s="3">
        <f t="shared" si="4"/>
        <v>0</v>
      </c>
      <c r="L11" s="3">
        <f t="shared" si="4"/>
        <v>0</v>
      </c>
      <c r="M11" s="3">
        <f t="shared" si="4"/>
        <v>0</v>
      </c>
      <c r="N11" s="3">
        <f t="shared" si="4"/>
        <v>0</v>
      </c>
      <c r="O11" s="3">
        <f t="shared" si="4"/>
        <v>0</v>
      </c>
    </row>
    <row r="12" spans="2:15" x14ac:dyDescent="0.2">
      <c r="C12">
        <v>5</v>
      </c>
      <c r="D12" s="3">
        <f t="shared" si="3"/>
        <v>0</v>
      </c>
      <c r="E12" s="3">
        <f t="shared" si="4"/>
        <v>0</v>
      </c>
      <c r="F12" s="3">
        <f t="shared" si="4"/>
        <v>0</v>
      </c>
      <c r="G12" s="3">
        <f t="shared" si="4"/>
        <v>0</v>
      </c>
      <c r="H12" s="3">
        <f t="shared" si="4"/>
        <v>0</v>
      </c>
      <c r="I12" s="3">
        <f t="shared" si="4"/>
        <v>0</v>
      </c>
      <c r="J12" s="3">
        <f t="shared" si="4"/>
        <v>0</v>
      </c>
      <c r="K12" s="3">
        <f t="shared" si="4"/>
        <v>0</v>
      </c>
      <c r="L12" s="3">
        <f t="shared" si="4"/>
        <v>0</v>
      </c>
      <c r="M12" s="3">
        <f t="shared" si="4"/>
        <v>0</v>
      </c>
      <c r="N12" s="3">
        <f t="shared" si="4"/>
        <v>0</v>
      </c>
      <c r="O12" s="3">
        <f t="shared" si="4"/>
        <v>0</v>
      </c>
    </row>
    <row r="13" spans="2:15" x14ac:dyDescent="0.2">
      <c r="C13">
        <v>6</v>
      </c>
      <c r="D13" s="3">
        <f t="shared" si="3"/>
        <v>0</v>
      </c>
      <c r="E13" s="3">
        <f t="shared" si="4"/>
        <v>0</v>
      </c>
      <c r="F13" s="3">
        <f t="shared" si="4"/>
        <v>0</v>
      </c>
      <c r="G13" s="3">
        <f t="shared" si="4"/>
        <v>0</v>
      </c>
      <c r="H13" s="3">
        <f t="shared" si="4"/>
        <v>0</v>
      </c>
      <c r="I13" s="3">
        <f t="shared" si="4"/>
        <v>0</v>
      </c>
      <c r="J13" s="3">
        <f t="shared" si="4"/>
        <v>0</v>
      </c>
      <c r="K13" s="3">
        <f t="shared" si="4"/>
        <v>0</v>
      </c>
      <c r="L13" s="3">
        <f t="shared" si="4"/>
        <v>0</v>
      </c>
      <c r="M13" s="3">
        <f t="shared" si="4"/>
        <v>0</v>
      </c>
      <c r="N13" s="3">
        <f t="shared" si="4"/>
        <v>0</v>
      </c>
      <c r="O13" s="3">
        <f t="shared" si="4"/>
        <v>0</v>
      </c>
    </row>
    <row r="14" spans="2:15" x14ac:dyDescent="0.2">
      <c r="C14">
        <v>7</v>
      </c>
      <c r="D14" s="3">
        <f t="shared" si="3"/>
        <v>0</v>
      </c>
      <c r="E14" s="3">
        <f t="shared" si="4"/>
        <v>0</v>
      </c>
      <c r="F14" s="3">
        <f t="shared" si="4"/>
        <v>0</v>
      </c>
      <c r="G14" s="3">
        <f t="shared" si="4"/>
        <v>0</v>
      </c>
      <c r="H14" s="3">
        <f t="shared" si="4"/>
        <v>0</v>
      </c>
      <c r="I14" s="3">
        <f t="shared" si="4"/>
        <v>0</v>
      </c>
      <c r="J14" s="3">
        <f t="shared" si="4"/>
        <v>0</v>
      </c>
      <c r="K14" s="3">
        <f t="shared" si="4"/>
        <v>0</v>
      </c>
      <c r="L14" s="3">
        <f t="shared" si="4"/>
        <v>0</v>
      </c>
      <c r="M14" s="3">
        <f t="shared" si="4"/>
        <v>0</v>
      </c>
      <c r="N14" s="3">
        <f t="shared" si="4"/>
        <v>0</v>
      </c>
      <c r="O14" s="3">
        <f t="shared" si="4"/>
        <v>0</v>
      </c>
    </row>
    <row r="15" spans="2:15" x14ac:dyDescent="0.2">
      <c r="C15">
        <v>8</v>
      </c>
      <c r="D15" s="3">
        <f t="shared" si="3"/>
        <v>0</v>
      </c>
      <c r="E15" s="3">
        <f t="shared" si="4"/>
        <v>0</v>
      </c>
      <c r="F15" s="3">
        <f t="shared" si="4"/>
        <v>0</v>
      </c>
      <c r="G15" s="3">
        <f t="shared" si="4"/>
        <v>0</v>
      </c>
      <c r="H15" s="3">
        <f t="shared" si="4"/>
        <v>0</v>
      </c>
      <c r="I15" s="3">
        <f t="shared" si="4"/>
        <v>0</v>
      </c>
      <c r="J15" s="3">
        <f t="shared" si="4"/>
        <v>0</v>
      </c>
      <c r="K15" s="3">
        <f t="shared" si="4"/>
        <v>0</v>
      </c>
      <c r="L15" s="3">
        <f t="shared" si="4"/>
        <v>0</v>
      </c>
      <c r="M15" s="3">
        <f t="shared" si="4"/>
        <v>0</v>
      </c>
      <c r="N15" s="3">
        <f t="shared" si="4"/>
        <v>0</v>
      </c>
      <c r="O15" s="3">
        <f t="shared" si="4"/>
        <v>0</v>
      </c>
    </row>
    <row r="16" spans="2:15" x14ac:dyDescent="0.2">
      <c r="C16">
        <v>9</v>
      </c>
      <c r="D16" s="3">
        <f t="shared" si="3"/>
        <v>0</v>
      </c>
      <c r="E16" s="3">
        <f t="shared" si="4"/>
        <v>0</v>
      </c>
      <c r="F16" s="3">
        <f t="shared" si="4"/>
        <v>0</v>
      </c>
      <c r="G16" s="3">
        <f t="shared" si="4"/>
        <v>0</v>
      </c>
      <c r="H16" s="3">
        <f t="shared" si="4"/>
        <v>0</v>
      </c>
      <c r="I16" s="3">
        <f t="shared" si="4"/>
        <v>0</v>
      </c>
      <c r="J16" s="3">
        <f t="shared" si="4"/>
        <v>0</v>
      </c>
      <c r="K16" s="3">
        <f t="shared" si="4"/>
        <v>0</v>
      </c>
      <c r="L16" s="3">
        <f t="shared" si="4"/>
        <v>0</v>
      </c>
      <c r="M16" s="3">
        <f t="shared" si="4"/>
        <v>0</v>
      </c>
      <c r="N16" s="3">
        <f t="shared" si="4"/>
        <v>0</v>
      </c>
      <c r="O16" s="3">
        <f t="shared" si="4"/>
        <v>0</v>
      </c>
    </row>
    <row r="17" spans="3:15" x14ac:dyDescent="0.2">
      <c r="C17">
        <v>10</v>
      </c>
      <c r="D17" s="3">
        <f t="shared" si="3"/>
        <v>0</v>
      </c>
      <c r="E17" s="3">
        <f t="shared" si="4"/>
        <v>0</v>
      </c>
      <c r="F17" s="3">
        <f t="shared" si="4"/>
        <v>0</v>
      </c>
      <c r="G17" s="3">
        <f t="shared" si="4"/>
        <v>0</v>
      </c>
      <c r="H17" s="3">
        <f t="shared" si="4"/>
        <v>0</v>
      </c>
      <c r="I17" s="3">
        <f t="shared" si="4"/>
        <v>0</v>
      </c>
      <c r="J17" s="3">
        <f t="shared" si="4"/>
        <v>0</v>
      </c>
      <c r="K17" s="3">
        <f t="shared" si="4"/>
        <v>0</v>
      </c>
      <c r="L17" s="3">
        <f t="shared" si="4"/>
        <v>0</v>
      </c>
      <c r="M17" s="3">
        <f t="shared" si="4"/>
        <v>0</v>
      </c>
      <c r="N17" s="3">
        <f t="shared" si="4"/>
        <v>0</v>
      </c>
      <c r="O17" s="3">
        <f t="shared" si="4"/>
        <v>0</v>
      </c>
    </row>
    <row r="18" spans="3:15" x14ac:dyDescent="0.2">
      <c r="C18">
        <v>11</v>
      </c>
      <c r="D18" s="3">
        <f t="shared" si="3"/>
        <v>0</v>
      </c>
      <c r="E18" s="3">
        <f t="shared" si="4"/>
        <v>0</v>
      </c>
      <c r="F18" s="3">
        <f t="shared" si="4"/>
        <v>0</v>
      </c>
      <c r="G18" s="3">
        <f t="shared" si="4"/>
        <v>0</v>
      </c>
      <c r="H18" s="3">
        <f t="shared" si="4"/>
        <v>0</v>
      </c>
      <c r="I18" s="3">
        <f t="shared" si="4"/>
        <v>0</v>
      </c>
      <c r="J18" s="3">
        <f t="shared" si="4"/>
        <v>0</v>
      </c>
      <c r="K18" s="3">
        <f t="shared" si="4"/>
        <v>0</v>
      </c>
      <c r="L18" s="3">
        <f t="shared" si="4"/>
        <v>0</v>
      </c>
      <c r="M18" s="3">
        <f t="shared" si="4"/>
        <v>0</v>
      </c>
      <c r="N18" s="3">
        <f t="shared" si="4"/>
        <v>0</v>
      </c>
      <c r="O18" s="3">
        <f t="shared" si="4"/>
        <v>0</v>
      </c>
    </row>
    <row r="19" spans="3:15" x14ac:dyDescent="0.2">
      <c r="C19">
        <v>12</v>
      </c>
      <c r="D19" s="3">
        <f t="shared" si="3"/>
        <v>0</v>
      </c>
      <c r="E19" s="3">
        <f t="shared" si="4"/>
        <v>0</v>
      </c>
      <c r="F19" s="3">
        <f t="shared" si="4"/>
        <v>0</v>
      </c>
      <c r="G19" s="3">
        <f t="shared" si="4"/>
        <v>0</v>
      </c>
      <c r="H19" s="3">
        <f t="shared" si="4"/>
        <v>0</v>
      </c>
      <c r="I19" s="3">
        <f t="shared" si="4"/>
        <v>0</v>
      </c>
      <c r="J19" s="3">
        <f t="shared" si="4"/>
        <v>0</v>
      </c>
      <c r="K19" s="3">
        <f t="shared" si="4"/>
        <v>0</v>
      </c>
      <c r="L19" s="3">
        <f t="shared" si="4"/>
        <v>0</v>
      </c>
      <c r="M19" s="3">
        <f t="shared" si="4"/>
        <v>0</v>
      </c>
      <c r="N19" s="3">
        <f t="shared" si="4"/>
        <v>0</v>
      </c>
      <c r="O19" s="3">
        <f t="shared" si="4"/>
        <v>0</v>
      </c>
    </row>
    <row r="20" spans="3:15" x14ac:dyDescent="0.2">
      <c r="C20">
        <v>13</v>
      </c>
      <c r="D20" s="3">
        <f t="shared" si="3"/>
        <v>0</v>
      </c>
      <c r="E20" s="3">
        <f t="shared" si="4"/>
        <v>0</v>
      </c>
      <c r="F20" s="3">
        <f t="shared" si="4"/>
        <v>0</v>
      </c>
      <c r="G20" s="3">
        <f t="shared" si="4"/>
        <v>0</v>
      </c>
      <c r="H20" s="3">
        <f t="shared" si="4"/>
        <v>0</v>
      </c>
      <c r="I20" s="3">
        <f t="shared" si="4"/>
        <v>0</v>
      </c>
      <c r="J20" s="3">
        <f t="shared" si="4"/>
        <v>0</v>
      </c>
      <c r="K20" s="3">
        <f t="shared" si="4"/>
        <v>0</v>
      </c>
      <c r="L20" s="3">
        <f t="shared" si="4"/>
        <v>0</v>
      </c>
      <c r="M20" s="3">
        <f t="shared" si="4"/>
        <v>0</v>
      </c>
      <c r="N20" s="3">
        <f t="shared" si="4"/>
        <v>0</v>
      </c>
      <c r="O20" s="3">
        <f t="shared" si="4"/>
        <v>0</v>
      </c>
    </row>
    <row r="21" spans="3:15" x14ac:dyDescent="0.2">
      <c r="C21">
        <v>14</v>
      </c>
      <c r="D21" s="3">
        <f t="shared" si="3"/>
        <v>0</v>
      </c>
      <c r="E21" s="3">
        <f t="shared" si="4"/>
        <v>0</v>
      </c>
      <c r="F21" s="3">
        <f t="shared" si="4"/>
        <v>0</v>
      </c>
      <c r="G21" s="3">
        <f t="shared" si="4"/>
        <v>0</v>
      </c>
      <c r="H21" s="3">
        <f t="shared" si="4"/>
        <v>0</v>
      </c>
      <c r="I21" s="3">
        <f t="shared" si="4"/>
        <v>0</v>
      </c>
      <c r="J21" s="3">
        <f t="shared" si="4"/>
        <v>0</v>
      </c>
      <c r="K21" s="3">
        <f t="shared" si="4"/>
        <v>0</v>
      </c>
      <c r="L21" s="3">
        <f t="shared" si="4"/>
        <v>0</v>
      </c>
      <c r="M21" s="3">
        <f t="shared" si="4"/>
        <v>0</v>
      </c>
      <c r="N21" s="3">
        <f t="shared" si="4"/>
        <v>0</v>
      </c>
      <c r="O21" s="3">
        <f t="shared" si="4"/>
        <v>0</v>
      </c>
    </row>
    <row r="22" spans="3:15" x14ac:dyDescent="0.2">
      <c r="C22">
        <v>15</v>
      </c>
      <c r="D22" s="3">
        <f t="shared" si="3"/>
        <v>0</v>
      </c>
      <c r="E22" s="3">
        <f t="shared" si="4"/>
        <v>0</v>
      </c>
      <c r="F22" s="3">
        <f t="shared" si="4"/>
        <v>0</v>
      </c>
      <c r="G22" s="3">
        <f t="shared" si="4"/>
        <v>0</v>
      </c>
      <c r="H22" s="3">
        <f t="shared" si="4"/>
        <v>0</v>
      </c>
      <c r="I22" s="3">
        <f t="shared" si="4"/>
        <v>0</v>
      </c>
      <c r="J22" s="3">
        <f t="shared" si="4"/>
        <v>0</v>
      </c>
      <c r="K22" s="3">
        <f t="shared" si="4"/>
        <v>0</v>
      </c>
      <c r="L22" s="3">
        <f t="shared" si="4"/>
        <v>0</v>
      </c>
      <c r="M22" s="3">
        <f t="shared" si="4"/>
        <v>0</v>
      </c>
      <c r="N22" s="3">
        <f t="shared" si="4"/>
        <v>0</v>
      </c>
      <c r="O22" s="3">
        <f t="shared" si="4"/>
        <v>0</v>
      </c>
    </row>
    <row r="23" spans="3:15" x14ac:dyDescent="0.2">
      <c r="C23">
        <v>16</v>
      </c>
      <c r="D23" s="3">
        <f t="shared" si="3"/>
        <v>0</v>
      </c>
      <c r="E23" s="3">
        <f t="shared" si="4"/>
        <v>0</v>
      </c>
      <c r="F23" s="3">
        <f t="shared" si="4"/>
        <v>0</v>
      </c>
      <c r="G23" s="3">
        <f t="shared" si="4"/>
        <v>0</v>
      </c>
      <c r="H23" s="3">
        <f t="shared" si="4"/>
        <v>0</v>
      </c>
      <c r="I23" s="3">
        <f t="shared" si="4"/>
        <v>0</v>
      </c>
      <c r="J23" s="3">
        <f t="shared" si="4"/>
        <v>0</v>
      </c>
      <c r="K23" s="3">
        <f t="shared" si="4"/>
        <v>0</v>
      </c>
      <c r="L23" s="3">
        <f t="shared" si="4"/>
        <v>0</v>
      </c>
      <c r="M23" s="3">
        <f t="shared" si="4"/>
        <v>0</v>
      </c>
      <c r="N23" s="3">
        <f t="shared" si="4"/>
        <v>0</v>
      </c>
      <c r="O23" s="3">
        <f t="shared" si="4"/>
        <v>0</v>
      </c>
    </row>
    <row r="24" spans="3:15" x14ac:dyDescent="0.2">
      <c r="C24">
        <v>17</v>
      </c>
      <c r="D24" s="3">
        <f t="shared" si="3"/>
        <v>0</v>
      </c>
      <c r="E24" s="3">
        <f t="shared" si="4"/>
        <v>0</v>
      </c>
      <c r="F24" s="3">
        <f t="shared" si="4"/>
        <v>0</v>
      </c>
      <c r="G24" s="3">
        <f t="shared" si="4"/>
        <v>0</v>
      </c>
      <c r="H24" s="3">
        <f t="shared" si="4"/>
        <v>0</v>
      </c>
      <c r="I24" s="3">
        <f t="shared" si="4"/>
        <v>0</v>
      </c>
      <c r="J24" s="3">
        <f t="shared" si="4"/>
        <v>0</v>
      </c>
      <c r="K24" s="3">
        <f t="shared" si="4"/>
        <v>0</v>
      </c>
      <c r="L24" s="3">
        <f t="shared" si="4"/>
        <v>0</v>
      </c>
      <c r="M24" s="3">
        <f t="shared" si="4"/>
        <v>0</v>
      </c>
      <c r="N24" s="3">
        <f t="shared" si="4"/>
        <v>0</v>
      </c>
      <c r="O24" s="3">
        <f t="shared" si="4"/>
        <v>0</v>
      </c>
    </row>
    <row r="25" spans="3:15" x14ac:dyDescent="0.2">
      <c r="C25">
        <v>18</v>
      </c>
      <c r="D25" s="3">
        <f t="shared" si="3"/>
        <v>0</v>
      </c>
      <c r="E25" s="3">
        <f t="shared" si="4"/>
        <v>0</v>
      </c>
      <c r="F25" s="3">
        <f t="shared" si="4"/>
        <v>0</v>
      </c>
      <c r="G25" s="3">
        <f t="shared" si="4"/>
        <v>0</v>
      </c>
      <c r="H25" s="3">
        <f t="shared" si="4"/>
        <v>0</v>
      </c>
      <c r="I25" s="3">
        <f t="shared" si="4"/>
        <v>0</v>
      </c>
      <c r="J25" s="3">
        <f t="shared" si="4"/>
        <v>0</v>
      </c>
      <c r="K25" s="3">
        <f t="shared" si="4"/>
        <v>0</v>
      </c>
      <c r="L25" s="3">
        <f t="shared" si="4"/>
        <v>0</v>
      </c>
      <c r="M25" s="3">
        <f t="shared" si="4"/>
        <v>0</v>
      </c>
      <c r="N25" s="3">
        <f t="shared" si="4"/>
        <v>0</v>
      </c>
      <c r="O25" s="3">
        <f t="shared" si="4"/>
        <v>0</v>
      </c>
    </row>
    <row r="26" spans="3:15" x14ac:dyDescent="0.2">
      <c r="C26">
        <v>19</v>
      </c>
      <c r="D26" s="3">
        <f t="shared" si="3"/>
        <v>0</v>
      </c>
      <c r="E26" s="3">
        <f t="shared" ref="E26:O38" si="5">E25-$D$8/30</f>
        <v>0</v>
      </c>
      <c r="F26" s="3">
        <f t="shared" si="5"/>
        <v>0</v>
      </c>
      <c r="G26" s="3">
        <f t="shared" si="5"/>
        <v>0</v>
      </c>
      <c r="H26" s="3">
        <f t="shared" si="5"/>
        <v>0</v>
      </c>
      <c r="I26" s="3">
        <f t="shared" si="5"/>
        <v>0</v>
      </c>
      <c r="J26" s="3">
        <f t="shared" si="5"/>
        <v>0</v>
      </c>
      <c r="K26" s="3">
        <f t="shared" si="5"/>
        <v>0</v>
      </c>
      <c r="L26" s="3">
        <f t="shared" si="5"/>
        <v>0</v>
      </c>
      <c r="M26" s="3">
        <f t="shared" si="5"/>
        <v>0</v>
      </c>
      <c r="N26" s="3">
        <f t="shared" si="5"/>
        <v>0</v>
      </c>
      <c r="O26" s="3">
        <f t="shared" si="5"/>
        <v>0</v>
      </c>
    </row>
    <row r="27" spans="3:15" x14ac:dyDescent="0.2">
      <c r="C27">
        <v>20</v>
      </c>
      <c r="D27" s="3">
        <f t="shared" si="3"/>
        <v>0</v>
      </c>
      <c r="E27" s="3">
        <f t="shared" si="5"/>
        <v>0</v>
      </c>
      <c r="F27" s="3">
        <f t="shared" si="5"/>
        <v>0</v>
      </c>
      <c r="G27" s="3">
        <f t="shared" si="5"/>
        <v>0</v>
      </c>
      <c r="H27" s="3">
        <f t="shared" si="5"/>
        <v>0</v>
      </c>
      <c r="I27" s="3">
        <f t="shared" si="5"/>
        <v>0</v>
      </c>
      <c r="J27" s="3">
        <f t="shared" si="5"/>
        <v>0</v>
      </c>
      <c r="K27" s="3">
        <f t="shared" si="5"/>
        <v>0</v>
      </c>
      <c r="L27" s="3">
        <f t="shared" si="5"/>
        <v>0</v>
      </c>
      <c r="M27" s="3">
        <f t="shared" si="5"/>
        <v>0</v>
      </c>
      <c r="N27" s="3">
        <f t="shared" si="5"/>
        <v>0</v>
      </c>
      <c r="O27" s="3">
        <f t="shared" si="5"/>
        <v>0</v>
      </c>
    </row>
    <row r="28" spans="3:15" x14ac:dyDescent="0.2">
      <c r="C28">
        <v>21</v>
      </c>
      <c r="D28" s="3">
        <f t="shared" si="3"/>
        <v>0</v>
      </c>
      <c r="E28" s="3">
        <f t="shared" si="5"/>
        <v>0</v>
      </c>
      <c r="F28" s="3">
        <f t="shared" si="5"/>
        <v>0</v>
      </c>
      <c r="G28" s="3">
        <f t="shared" si="5"/>
        <v>0</v>
      </c>
      <c r="H28" s="3">
        <f t="shared" si="5"/>
        <v>0</v>
      </c>
      <c r="I28" s="3">
        <f t="shared" si="5"/>
        <v>0</v>
      </c>
      <c r="J28" s="3">
        <f t="shared" si="5"/>
        <v>0</v>
      </c>
      <c r="K28" s="3">
        <f t="shared" si="5"/>
        <v>0</v>
      </c>
      <c r="L28" s="3">
        <f t="shared" si="5"/>
        <v>0</v>
      </c>
      <c r="M28" s="3">
        <f t="shared" si="5"/>
        <v>0</v>
      </c>
      <c r="N28" s="3">
        <f t="shared" si="5"/>
        <v>0</v>
      </c>
      <c r="O28" s="3">
        <f t="shared" si="5"/>
        <v>0</v>
      </c>
    </row>
    <row r="29" spans="3:15" x14ac:dyDescent="0.2">
      <c r="C29">
        <v>22</v>
      </c>
      <c r="D29" s="3">
        <f t="shared" si="3"/>
        <v>0</v>
      </c>
      <c r="E29" s="3">
        <f t="shared" si="5"/>
        <v>0</v>
      </c>
      <c r="F29" s="3">
        <f t="shared" si="5"/>
        <v>0</v>
      </c>
      <c r="G29" s="3">
        <f t="shared" si="5"/>
        <v>0</v>
      </c>
      <c r="H29" s="3">
        <f t="shared" si="5"/>
        <v>0</v>
      </c>
      <c r="I29" s="3">
        <f t="shared" si="5"/>
        <v>0</v>
      </c>
      <c r="J29" s="3">
        <f t="shared" si="5"/>
        <v>0</v>
      </c>
      <c r="K29" s="3">
        <f t="shared" si="5"/>
        <v>0</v>
      </c>
      <c r="L29" s="3">
        <f t="shared" si="5"/>
        <v>0</v>
      </c>
      <c r="M29" s="3">
        <f t="shared" si="5"/>
        <v>0</v>
      </c>
      <c r="N29" s="3">
        <f t="shared" si="5"/>
        <v>0</v>
      </c>
      <c r="O29" s="3">
        <f t="shared" si="5"/>
        <v>0</v>
      </c>
    </row>
    <row r="30" spans="3:15" x14ac:dyDescent="0.2">
      <c r="C30">
        <v>23</v>
      </c>
      <c r="D30" s="3">
        <f t="shared" si="3"/>
        <v>0</v>
      </c>
      <c r="E30" s="3">
        <f t="shared" si="5"/>
        <v>0</v>
      </c>
      <c r="F30" s="3">
        <f t="shared" si="5"/>
        <v>0</v>
      </c>
      <c r="G30" s="3">
        <f t="shared" si="5"/>
        <v>0</v>
      </c>
      <c r="H30" s="3">
        <f t="shared" si="5"/>
        <v>0</v>
      </c>
      <c r="I30" s="3">
        <f t="shared" si="5"/>
        <v>0</v>
      </c>
      <c r="J30" s="3">
        <f t="shared" si="5"/>
        <v>0</v>
      </c>
      <c r="K30" s="3">
        <f t="shared" si="5"/>
        <v>0</v>
      </c>
      <c r="L30" s="3">
        <f t="shared" si="5"/>
        <v>0</v>
      </c>
      <c r="M30" s="3">
        <f t="shared" si="5"/>
        <v>0</v>
      </c>
      <c r="N30" s="3">
        <f t="shared" si="5"/>
        <v>0</v>
      </c>
      <c r="O30" s="3">
        <f t="shared" si="5"/>
        <v>0</v>
      </c>
    </row>
    <row r="31" spans="3:15" x14ac:dyDescent="0.2">
      <c r="C31">
        <v>24</v>
      </c>
      <c r="D31" s="3">
        <f t="shared" si="3"/>
        <v>0</v>
      </c>
      <c r="E31" s="3">
        <f t="shared" si="5"/>
        <v>0</v>
      </c>
      <c r="F31" s="3">
        <f t="shared" si="5"/>
        <v>0</v>
      </c>
      <c r="G31" s="3">
        <f t="shared" si="5"/>
        <v>0</v>
      </c>
      <c r="H31" s="3">
        <f t="shared" si="5"/>
        <v>0</v>
      </c>
      <c r="I31" s="3">
        <f t="shared" si="5"/>
        <v>0</v>
      </c>
      <c r="J31" s="3">
        <f t="shared" si="5"/>
        <v>0</v>
      </c>
      <c r="K31" s="3">
        <f t="shared" si="5"/>
        <v>0</v>
      </c>
      <c r="L31" s="3">
        <f t="shared" si="5"/>
        <v>0</v>
      </c>
      <c r="M31" s="3">
        <f t="shared" si="5"/>
        <v>0</v>
      </c>
      <c r="N31" s="3">
        <f t="shared" si="5"/>
        <v>0</v>
      </c>
      <c r="O31" s="3">
        <f t="shared" si="5"/>
        <v>0</v>
      </c>
    </row>
    <row r="32" spans="3:15" x14ac:dyDescent="0.2">
      <c r="C32">
        <v>25</v>
      </c>
      <c r="D32" s="3">
        <f t="shared" si="3"/>
        <v>0</v>
      </c>
      <c r="E32" s="3">
        <f t="shared" si="5"/>
        <v>0</v>
      </c>
      <c r="F32" s="3">
        <f t="shared" si="5"/>
        <v>0</v>
      </c>
      <c r="G32" s="3">
        <f t="shared" si="5"/>
        <v>0</v>
      </c>
      <c r="H32" s="3">
        <f t="shared" si="5"/>
        <v>0</v>
      </c>
      <c r="I32" s="3">
        <f t="shared" si="5"/>
        <v>0</v>
      </c>
      <c r="J32" s="3">
        <f t="shared" si="5"/>
        <v>0</v>
      </c>
      <c r="K32" s="3">
        <f t="shared" si="5"/>
        <v>0</v>
      </c>
      <c r="L32" s="3">
        <f t="shared" si="5"/>
        <v>0</v>
      </c>
      <c r="M32" s="3">
        <f t="shared" si="5"/>
        <v>0</v>
      </c>
      <c r="N32" s="3">
        <f t="shared" si="5"/>
        <v>0</v>
      </c>
      <c r="O32" s="3">
        <f t="shared" si="5"/>
        <v>0</v>
      </c>
    </row>
    <row r="33" spans="3:15" x14ac:dyDescent="0.2">
      <c r="C33">
        <v>26</v>
      </c>
      <c r="D33" s="3">
        <f t="shared" si="3"/>
        <v>0</v>
      </c>
      <c r="E33" s="3">
        <f t="shared" si="5"/>
        <v>0</v>
      </c>
      <c r="F33" s="3">
        <f t="shared" si="5"/>
        <v>0</v>
      </c>
      <c r="G33" s="3">
        <f t="shared" si="5"/>
        <v>0</v>
      </c>
      <c r="H33" s="3">
        <f t="shared" si="5"/>
        <v>0</v>
      </c>
      <c r="I33" s="3">
        <f t="shared" si="5"/>
        <v>0</v>
      </c>
      <c r="J33" s="3">
        <f t="shared" si="5"/>
        <v>0</v>
      </c>
      <c r="K33" s="3">
        <f t="shared" si="5"/>
        <v>0</v>
      </c>
      <c r="L33" s="3">
        <f t="shared" si="5"/>
        <v>0</v>
      </c>
      <c r="M33" s="3">
        <f t="shared" si="5"/>
        <v>0</v>
      </c>
      <c r="N33" s="3">
        <f t="shared" si="5"/>
        <v>0</v>
      </c>
      <c r="O33" s="3">
        <f t="shared" si="5"/>
        <v>0</v>
      </c>
    </row>
    <row r="34" spans="3:15" x14ac:dyDescent="0.2">
      <c r="C34">
        <v>27</v>
      </c>
      <c r="D34" s="3">
        <f t="shared" si="3"/>
        <v>0</v>
      </c>
      <c r="E34" s="3">
        <f t="shared" si="5"/>
        <v>0</v>
      </c>
      <c r="F34" s="3">
        <f t="shared" si="5"/>
        <v>0</v>
      </c>
      <c r="G34" s="3">
        <f t="shared" si="5"/>
        <v>0</v>
      </c>
      <c r="H34" s="3">
        <f t="shared" si="5"/>
        <v>0</v>
      </c>
      <c r="I34" s="3">
        <f t="shared" si="5"/>
        <v>0</v>
      </c>
      <c r="J34" s="3">
        <f t="shared" si="5"/>
        <v>0</v>
      </c>
      <c r="K34" s="3">
        <f t="shared" si="5"/>
        <v>0</v>
      </c>
      <c r="L34" s="3">
        <f t="shared" si="5"/>
        <v>0</v>
      </c>
      <c r="M34" s="3">
        <f t="shared" si="5"/>
        <v>0</v>
      </c>
      <c r="N34" s="3">
        <f t="shared" si="5"/>
        <v>0</v>
      </c>
      <c r="O34" s="3">
        <f t="shared" si="5"/>
        <v>0</v>
      </c>
    </row>
    <row r="35" spans="3:15" x14ac:dyDescent="0.2">
      <c r="C35">
        <v>28</v>
      </c>
      <c r="D35" s="3">
        <f t="shared" si="3"/>
        <v>0</v>
      </c>
      <c r="E35" s="3">
        <f t="shared" si="5"/>
        <v>0</v>
      </c>
      <c r="F35" s="3">
        <f t="shared" si="5"/>
        <v>0</v>
      </c>
      <c r="G35" s="3">
        <f t="shared" si="5"/>
        <v>0</v>
      </c>
      <c r="H35" s="3">
        <f t="shared" si="5"/>
        <v>0</v>
      </c>
      <c r="I35" s="3">
        <f t="shared" si="5"/>
        <v>0</v>
      </c>
      <c r="J35" s="3">
        <f t="shared" si="5"/>
        <v>0</v>
      </c>
      <c r="K35" s="3">
        <f t="shared" si="5"/>
        <v>0</v>
      </c>
      <c r="L35" s="3">
        <f t="shared" si="5"/>
        <v>0</v>
      </c>
      <c r="M35" s="3">
        <f t="shared" si="5"/>
        <v>0</v>
      </c>
      <c r="N35" s="3">
        <f t="shared" si="5"/>
        <v>0</v>
      </c>
      <c r="O35" s="3">
        <f t="shared" si="5"/>
        <v>0</v>
      </c>
    </row>
    <row r="36" spans="3:15" x14ac:dyDescent="0.2">
      <c r="C36">
        <v>29</v>
      </c>
      <c r="D36" s="3">
        <f t="shared" si="3"/>
        <v>0</v>
      </c>
      <c r="E36" s="3">
        <f t="shared" si="5"/>
        <v>0</v>
      </c>
      <c r="F36" s="3">
        <f t="shared" si="5"/>
        <v>0</v>
      </c>
      <c r="G36" s="3">
        <f t="shared" si="5"/>
        <v>0</v>
      </c>
      <c r="H36" s="3">
        <f t="shared" si="5"/>
        <v>0</v>
      </c>
      <c r="I36" s="3">
        <f t="shared" si="5"/>
        <v>0</v>
      </c>
      <c r="J36" s="3">
        <f t="shared" si="5"/>
        <v>0</v>
      </c>
      <c r="K36" s="3">
        <f t="shared" si="5"/>
        <v>0</v>
      </c>
      <c r="L36" s="3">
        <f t="shared" si="5"/>
        <v>0</v>
      </c>
      <c r="M36" s="3">
        <f t="shared" si="5"/>
        <v>0</v>
      </c>
      <c r="N36" s="3">
        <f t="shared" si="5"/>
        <v>0</v>
      </c>
      <c r="O36" s="3">
        <f t="shared" si="5"/>
        <v>0</v>
      </c>
    </row>
    <row r="37" spans="3:15" x14ac:dyDescent="0.2">
      <c r="C37">
        <v>30</v>
      </c>
      <c r="D37" s="3">
        <f t="shared" si="3"/>
        <v>0</v>
      </c>
      <c r="E37" s="3">
        <f t="shared" si="5"/>
        <v>0</v>
      </c>
      <c r="F37" s="3">
        <f t="shared" si="5"/>
        <v>0</v>
      </c>
      <c r="G37" s="3">
        <f t="shared" si="5"/>
        <v>0</v>
      </c>
      <c r="H37" s="3">
        <f t="shared" si="5"/>
        <v>0</v>
      </c>
      <c r="I37" s="3">
        <f t="shared" si="5"/>
        <v>0</v>
      </c>
      <c r="J37" s="3">
        <f t="shared" si="5"/>
        <v>0</v>
      </c>
      <c r="K37" s="3">
        <f t="shared" si="5"/>
        <v>0</v>
      </c>
      <c r="L37" s="3">
        <f t="shared" si="5"/>
        <v>0</v>
      </c>
      <c r="M37" s="3">
        <f t="shared" si="5"/>
        <v>0</v>
      </c>
      <c r="N37" s="3">
        <f t="shared" si="5"/>
        <v>0</v>
      </c>
      <c r="O37" s="3">
        <f t="shared" si="5"/>
        <v>0</v>
      </c>
    </row>
    <row r="38" spans="3:15" x14ac:dyDescent="0.2">
      <c r="C38">
        <v>31</v>
      </c>
      <c r="D38" s="3">
        <f t="shared" si="3"/>
        <v>0</v>
      </c>
      <c r="E38" s="3">
        <f t="shared" si="5"/>
        <v>0</v>
      </c>
      <c r="F38" s="3">
        <f t="shared" si="5"/>
        <v>0</v>
      </c>
      <c r="G38" s="3">
        <f t="shared" si="5"/>
        <v>0</v>
      </c>
      <c r="H38" s="3">
        <f t="shared" si="5"/>
        <v>0</v>
      </c>
      <c r="I38" s="3">
        <f t="shared" si="5"/>
        <v>0</v>
      </c>
      <c r="J38" s="3">
        <f t="shared" si="5"/>
        <v>0</v>
      </c>
      <c r="K38" s="3">
        <f t="shared" si="5"/>
        <v>0</v>
      </c>
      <c r="L38" s="3">
        <f t="shared" si="5"/>
        <v>0</v>
      </c>
      <c r="M38" s="3">
        <f t="shared" si="5"/>
        <v>0</v>
      </c>
      <c r="N38" s="3">
        <f t="shared" si="5"/>
        <v>0</v>
      </c>
      <c r="O38" s="3">
        <f t="shared" si="5"/>
        <v>0</v>
      </c>
    </row>
  </sheetData>
  <sheetProtection algorithmName="SHA-512" hashValue="P+KegawlxqbQw/gLXOVcKSReIiAHAcgV4I1izKTzHiDc/a4/X/kjDNM0LxLLuntCtUN2dgVy0k5lzB+y+OJr7A==" saltValue="JWGTEIcuQXc/bdHb8i5+CA=="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1C51BE53703F49AFA598DCED5BD948" ma:contentTypeVersion="17" ma:contentTypeDescription="Create a new document." ma:contentTypeScope="" ma:versionID="e455c161e377e915deb46440ac982763">
  <xsd:schema xmlns:xsd="http://www.w3.org/2001/XMLSchema" xmlns:xs="http://www.w3.org/2001/XMLSchema" xmlns:p="http://schemas.microsoft.com/office/2006/metadata/properties" xmlns:ns2="60a49a26-478f-4db3-8511-958c17eb5968" xmlns:ns3="07d2f924-75a1-4991-88eb-9d39358e7bc5" targetNamespace="http://schemas.microsoft.com/office/2006/metadata/properties" ma:root="true" ma:fieldsID="0baf46ce3af566bd5787cd522ee89c45" ns2:_="" ns3:_="">
    <xsd:import namespace="60a49a26-478f-4db3-8511-958c17eb5968"/>
    <xsd:import namespace="07d2f924-75a1-4991-88eb-9d39358e7bc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ServiceAutoKeyPoints" minOccurs="0"/>
                <xsd:element ref="ns2:MediaServiceKeyPoint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0a49a26-478f-4db3-8511-958c17eb59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e7dd0c29-2427-46f8-abeb-1c3434422ffa"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7d2f924-75a1-4991-88eb-9d39358e7bc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517719b1-5135-4d77-ab22-8af9eb15e172}" ma:internalName="TaxCatchAll" ma:showField="CatchAllData" ma:web="07d2f924-75a1-4991-88eb-9d39358e7bc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0a49a26-478f-4db3-8511-958c17eb5968">
      <Terms xmlns="http://schemas.microsoft.com/office/infopath/2007/PartnerControls"/>
    </lcf76f155ced4ddcb4097134ff3c332f>
    <TaxCatchAll xmlns="07d2f924-75a1-4991-88eb-9d39358e7bc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E3BBAC3-458C-4754-9059-4071F6F2A5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0a49a26-478f-4db3-8511-958c17eb5968"/>
    <ds:schemaRef ds:uri="07d2f924-75a1-4991-88eb-9d39358e7bc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0B305E6-A0EF-4ACC-8AFA-73673050CC47}">
  <ds:schemaRefs>
    <ds:schemaRef ds:uri="60a49a26-478f-4db3-8511-958c17eb5968"/>
    <ds:schemaRef ds:uri="http://purl.org/dc/dcmitype/"/>
    <ds:schemaRef ds:uri="http://schemas.microsoft.com/office/2006/documentManagement/types"/>
    <ds:schemaRef ds:uri="http://purl.org/dc/terms/"/>
    <ds:schemaRef ds:uri="http://schemas.microsoft.com/office/2006/metadata/properties"/>
    <ds:schemaRef ds:uri="http://purl.org/dc/elements/1.1/"/>
    <ds:schemaRef ds:uri="07d2f924-75a1-4991-88eb-9d39358e7bc5"/>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34CEE8F8-1280-460D-A0CC-618676BBE0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Move In Form</vt:lpstr>
      <vt:lpstr>Userform Inputs</vt:lpstr>
      <vt:lpstr>'Move In Form'!Print_Area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Taylor Maughan</dc:creator>
  <cp:keywords/>
  <dc:description/>
  <cp:lastModifiedBy>Taylor Maughan</cp:lastModifiedBy>
  <cp:revision/>
  <dcterms:created xsi:type="dcterms:W3CDTF">2016-04-05T18:15:11Z</dcterms:created>
  <dcterms:modified xsi:type="dcterms:W3CDTF">2023-06-02T16:46:31Z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TC034273789991</vt:lpwstr>
  </property>
  <property fmtid="{D5CDD505-2E9C-101B-9397-08002B2CF9AE}" pid="3" name="ContentTypeId">
    <vt:lpwstr>0x010100CB1C51BE53703F49AFA598DCED5BD948</vt:lpwstr>
  </property>
  <property fmtid="{D5CDD505-2E9C-101B-9397-08002B2CF9AE}" pid="4" name="MediaServiceImageTags">
    <vt:lpwstr/>
  </property>
</Properties>
</file>